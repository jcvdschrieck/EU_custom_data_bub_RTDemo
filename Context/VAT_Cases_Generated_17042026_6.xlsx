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van.den.schrieck\OneDrive - Accenture\Desktop\"/>
    </mc:Choice>
  </mc:AlternateContent>
  <xr:revisionPtr revIDLastSave="0" documentId="13_ncr:1_{DC4DDDBB-75C0-43D9-8F26-8E4D0CA1DF24}" xr6:coauthVersionLast="47" xr6:coauthVersionMax="47" xr10:uidLastSave="{00000000-0000-0000-0000-000000000000}"/>
  <bookViews>
    <workbookView xWindow="57480" yWindow="-120" windowWidth="29040" windowHeight="15720" tabRatio="500" xr2:uid="{00000000-000D-0000-FFFF-FFFF00000000}"/>
  </bookViews>
  <sheets>
    <sheet name="VAT Missclassification Last" sheetId="5" r:id="rId1"/>
    <sheet name="VAT Master Ref" sheetId="2" r:id="rId2"/>
  </sheets>
  <definedNames>
    <definedName name="_xlnm._FilterDatabase" localSheetId="0" hidden="1">'VAT Missclassification Last'!$A$1:$AL$192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92" i="5" l="1"/>
  <c r="AI192" i="5" s="1"/>
  <c r="AC192" i="5"/>
  <c r="AB192" i="5"/>
  <c r="AE191" i="5"/>
  <c r="AI191" i="5" s="1"/>
  <c r="AC191" i="5"/>
  <c r="AB191" i="5"/>
  <c r="AE190" i="5"/>
  <c r="AI190" i="5" s="1"/>
  <c r="AC190" i="5"/>
  <c r="AB190" i="5"/>
  <c r="AE189" i="5"/>
  <c r="AF189" i="5" s="1"/>
  <c r="AC189" i="5"/>
  <c r="AB189" i="5"/>
  <c r="AC188" i="5"/>
  <c r="AB188" i="5"/>
  <c r="AE188" i="5" s="1"/>
  <c r="AE187" i="5"/>
  <c r="AI187" i="5" s="1"/>
  <c r="AC187" i="5"/>
  <c r="AB187" i="5"/>
  <c r="AE186" i="5"/>
  <c r="AI186" i="5" s="1"/>
  <c r="AC186" i="5"/>
  <c r="AB186" i="5"/>
  <c r="AE185" i="5"/>
  <c r="AI185" i="5" s="1"/>
  <c r="AC185" i="5"/>
  <c r="AB185" i="5"/>
  <c r="AE184" i="5"/>
  <c r="AI184" i="5" s="1"/>
  <c r="AC184" i="5"/>
  <c r="AB184" i="5"/>
  <c r="AE183" i="5"/>
  <c r="AI183" i="5" s="1"/>
  <c r="AC183" i="5"/>
  <c r="AB183" i="5"/>
  <c r="AE182" i="5"/>
  <c r="AF182" i="5" s="1"/>
  <c r="AC182" i="5"/>
  <c r="AB182" i="5"/>
  <c r="AE181" i="5"/>
  <c r="AI181" i="5" s="1"/>
  <c r="AC181" i="5"/>
  <c r="AB181" i="5"/>
  <c r="AC180" i="5"/>
  <c r="AB180" i="5"/>
  <c r="AE180" i="5" s="1"/>
  <c r="AI180" i="5" s="1"/>
  <c r="AE179" i="5"/>
  <c r="AI179" i="5" s="1"/>
  <c r="AC179" i="5"/>
  <c r="AB179" i="5"/>
  <c r="AE178" i="5"/>
  <c r="AI178" i="5" s="1"/>
  <c r="AC178" i="5"/>
  <c r="AB178" i="5"/>
  <c r="AE177" i="5"/>
  <c r="AI177" i="5" s="1"/>
  <c r="AC177" i="5"/>
  <c r="AB177" i="5"/>
  <c r="AE176" i="5"/>
  <c r="AF176" i="5" s="1"/>
  <c r="AC176" i="5"/>
  <c r="AB176" i="5"/>
  <c r="AE175" i="5"/>
  <c r="AI175" i="5" s="1"/>
  <c r="AC175" i="5"/>
  <c r="AB175" i="5"/>
  <c r="AE174" i="5"/>
  <c r="AI174" i="5" s="1"/>
  <c r="AC174" i="5"/>
  <c r="AB174" i="5"/>
  <c r="AE173" i="5"/>
  <c r="AI173" i="5" s="1"/>
  <c r="AC173" i="5"/>
  <c r="AB173" i="5"/>
  <c r="AC172" i="5"/>
  <c r="AB172" i="5"/>
  <c r="AE172" i="5" s="1"/>
  <c r="AE171" i="5"/>
  <c r="AI171" i="5" s="1"/>
  <c r="AC171" i="5"/>
  <c r="AB171" i="5"/>
  <c r="AE170" i="5"/>
  <c r="AI170" i="5" s="1"/>
  <c r="AC170" i="5"/>
  <c r="AB170" i="5"/>
  <c r="AE169" i="5"/>
  <c r="AI169" i="5" s="1"/>
  <c r="AC169" i="5"/>
  <c r="AB169" i="5"/>
  <c r="AC168" i="5"/>
  <c r="AB168" i="5"/>
  <c r="AE168" i="5" s="1"/>
  <c r="AI168" i="5" s="1"/>
  <c r="AE167" i="5"/>
  <c r="AI167" i="5" s="1"/>
  <c r="AC167" i="5"/>
  <c r="AB167" i="5"/>
  <c r="AE166" i="5"/>
  <c r="AI166" i="5" s="1"/>
  <c r="AC166" i="5"/>
  <c r="AB166" i="5"/>
  <c r="AE165" i="5"/>
  <c r="AI165" i="5" s="1"/>
  <c r="AC165" i="5"/>
  <c r="AB165" i="5"/>
  <c r="AE164" i="5"/>
  <c r="AI164" i="5" s="1"/>
  <c r="AC164" i="5"/>
  <c r="AB164" i="5"/>
  <c r="AE163" i="5"/>
  <c r="AI163" i="5" s="1"/>
  <c r="AC163" i="5"/>
  <c r="AB163" i="5"/>
  <c r="AE162" i="5"/>
  <c r="AI162" i="5" s="1"/>
  <c r="AC162" i="5"/>
  <c r="AB162" i="5"/>
  <c r="AE161" i="5"/>
  <c r="AI161" i="5" s="1"/>
  <c r="AC161" i="5"/>
  <c r="AB161" i="5"/>
  <c r="AC160" i="5"/>
  <c r="AB160" i="5"/>
  <c r="AE160" i="5" s="1"/>
  <c r="AE159" i="5"/>
  <c r="AI159" i="5" s="1"/>
  <c r="AC159" i="5"/>
  <c r="AB159" i="5"/>
  <c r="AE158" i="5"/>
  <c r="AF158" i="5" s="1"/>
  <c r="AC158" i="5"/>
  <c r="AB158" i="5"/>
  <c r="AE157" i="5"/>
  <c r="AF157" i="5" s="1"/>
  <c r="AC157" i="5"/>
  <c r="AB157" i="5"/>
  <c r="AE156" i="5"/>
  <c r="AI156" i="5" s="1"/>
  <c r="AC156" i="5"/>
  <c r="AB156" i="5"/>
  <c r="AE155" i="5"/>
  <c r="AI155" i="5" s="1"/>
  <c r="AC155" i="5"/>
  <c r="AB155" i="5"/>
  <c r="AE154" i="5"/>
  <c r="AI154" i="5" s="1"/>
  <c r="AC154" i="5"/>
  <c r="AB154" i="5"/>
  <c r="AE153" i="5"/>
  <c r="AI153" i="5" s="1"/>
  <c r="AC153" i="5"/>
  <c r="AB153" i="5"/>
  <c r="AE152" i="5"/>
  <c r="AF152" i="5" s="1"/>
  <c r="AC152" i="5"/>
  <c r="AB152" i="5"/>
  <c r="AE151" i="5"/>
  <c r="AI151" i="5" s="1"/>
  <c r="AC151" i="5"/>
  <c r="AB151" i="5"/>
  <c r="AE150" i="5"/>
  <c r="AI150" i="5" s="1"/>
  <c r="AC150" i="5"/>
  <c r="AB150" i="5"/>
  <c r="AE149" i="5"/>
  <c r="AI149" i="5" s="1"/>
  <c r="AC149" i="5"/>
  <c r="AB149" i="5"/>
  <c r="AC148" i="5"/>
  <c r="AB148" i="5"/>
  <c r="AE148" i="5" s="1"/>
  <c r="AE147" i="5"/>
  <c r="AI147" i="5" s="1"/>
  <c r="AC147" i="5"/>
  <c r="AB147" i="5"/>
  <c r="AE146" i="5"/>
  <c r="AI146" i="5" s="1"/>
  <c r="AC146" i="5"/>
  <c r="AB146" i="5"/>
  <c r="AE145" i="5"/>
  <c r="AI145" i="5" s="1"/>
  <c r="AC145" i="5"/>
  <c r="AB145" i="5"/>
  <c r="AC144" i="5"/>
  <c r="AB144" i="5"/>
  <c r="AE144" i="5" s="1"/>
  <c r="AI144" i="5" s="1"/>
  <c r="AE143" i="5"/>
  <c r="AI143" i="5" s="1"/>
  <c r="AC143" i="5"/>
  <c r="AB143" i="5"/>
  <c r="AE142" i="5"/>
  <c r="AI142" i="5" s="1"/>
  <c r="AC142" i="5"/>
  <c r="AB142" i="5"/>
  <c r="AE141" i="5"/>
  <c r="AF141" i="5" s="1"/>
  <c r="AC141" i="5"/>
  <c r="AB141" i="5"/>
  <c r="AE140" i="5"/>
  <c r="AF140" i="5" s="1"/>
  <c r="AC140" i="5"/>
  <c r="AB140" i="5"/>
  <c r="AE139" i="5"/>
  <c r="AI139" i="5" s="1"/>
  <c r="AC139" i="5"/>
  <c r="AB139" i="5"/>
  <c r="AE138" i="5"/>
  <c r="AI138" i="5" s="1"/>
  <c r="AC138" i="5"/>
  <c r="AB138" i="5"/>
  <c r="AE137" i="5"/>
  <c r="AI137" i="5" s="1"/>
  <c r="AC137" i="5"/>
  <c r="AB137" i="5"/>
  <c r="AC136" i="5"/>
  <c r="AB136" i="5"/>
  <c r="AE136" i="5" s="1"/>
  <c r="AE135" i="5"/>
  <c r="AI135" i="5" s="1"/>
  <c r="AC135" i="5"/>
  <c r="AB135" i="5"/>
  <c r="AE134" i="5"/>
  <c r="AF134" i="5" s="1"/>
  <c r="AC134" i="5"/>
  <c r="AB134" i="5"/>
  <c r="AE133" i="5"/>
  <c r="AI133" i="5" s="1"/>
  <c r="AC133" i="5"/>
  <c r="AB133" i="5"/>
  <c r="AE132" i="5"/>
  <c r="AI132" i="5" s="1"/>
  <c r="AC132" i="5"/>
  <c r="AB132" i="5"/>
  <c r="AE131" i="5"/>
  <c r="AI131" i="5" s="1"/>
  <c r="AC131" i="5"/>
  <c r="AB131" i="5"/>
  <c r="AE130" i="5"/>
  <c r="AI130" i="5" s="1"/>
  <c r="AC130" i="5"/>
  <c r="AB130" i="5"/>
  <c r="AE129" i="5"/>
  <c r="AF129" i="5" s="1"/>
  <c r="AC129" i="5"/>
  <c r="AB129" i="5"/>
  <c r="AC128" i="5"/>
  <c r="AB128" i="5"/>
  <c r="AE128" i="5" s="1"/>
  <c r="AE127" i="5"/>
  <c r="AI127" i="5" s="1"/>
  <c r="AC127" i="5"/>
  <c r="AB127" i="5"/>
  <c r="AE126" i="5"/>
  <c r="AI126" i="5" s="1"/>
  <c r="AC126" i="5"/>
  <c r="AB126" i="5"/>
  <c r="AE125" i="5"/>
  <c r="AI125" i="5" s="1"/>
  <c r="AC125" i="5"/>
  <c r="AB125" i="5"/>
  <c r="AE124" i="5"/>
  <c r="AI124" i="5" s="1"/>
  <c r="AC124" i="5"/>
  <c r="AB124" i="5"/>
  <c r="AE123" i="5"/>
  <c r="AI123" i="5" s="1"/>
  <c r="AC123" i="5"/>
  <c r="AB123" i="5"/>
  <c r="AE122" i="5"/>
  <c r="AI122" i="5" s="1"/>
  <c r="AC122" i="5"/>
  <c r="AB122" i="5"/>
  <c r="AE121" i="5"/>
  <c r="AF121" i="5" s="1"/>
  <c r="AC121" i="5"/>
  <c r="AB121" i="5"/>
  <c r="AC120" i="5"/>
  <c r="AB120" i="5"/>
  <c r="AE120" i="5" s="1"/>
  <c r="AI120" i="5" s="1"/>
  <c r="AE119" i="5"/>
  <c r="AI119" i="5" s="1"/>
  <c r="AC119" i="5"/>
  <c r="AB119" i="5"/>
  <c r="AE118" i="5"/>
  <c r="AI118" i="5" s="1"/>
  <c r="AC118" i="5"/>
  <c r="AB118" i="5"/>
  <c r="AE117" i="5"/>
  <c r="AF117" i="5" s="1"/>
  <c r="AC117" i="5"/>
  <c r="AB117" i="5"/>
  <c r="AE116" i="5"/>
  <c r="AI116" i="5" s="1"/>
  <c r="AC116" i="5"/>
  <c r="AB116" i="5"/>
  <c r="AE115" i="5"/>
  <c r="AI115" i="5" s="1"/>
  <c r="AC115" i="5"/>
  <c r="AB115" i="5"/>
  <c r="AE114" i="5"/>
  <c r="AI114" i="5" s="1"/>
  <c r="AC114" i="5"/>
  <c r="AB114" i="5"/>
  <c r="AE113" i="5"/>
  <c r="AI113" i="5" s="1"/>
  <c r="AC113" i="5"/>
  <c r="AB113" i="5"/>
  <c r="AC112" i="5"/>
  <c r="AB112" i="5"/>
  <c r="AE112" i="5" s="1"/>
  <c r="AE111" i="5"/>
  <c r="AI111" i="5" s="1"/>
  <c r="AC111" i="5"/>
  <c r="AB111" i="5"/>
  <c r="AE110" i="5"/>
  <c r="AI110" i="5" s="1"/>
  <c r="AC110" i="5"/>
  <c r="AB110" i="5"/>
  <c r="AE109" i="5"/>
  <c r="AI109" i="5" s="1"/>
  <c r="AC109" i="5"/>
  <c r="AB109" i="5"/>
  <c r="AC108" i="5"/>
  <c r="AB108" i="5"/>
  <c r="AE108" i="5" s="1"/>
  <c r="AI108" i="5" s="1"/>
  <c r="AE107" i="5"/>
  <c r="AI107" i="5" s="1"/>
  <c r="AC107" i="5"/>
  <c r="AB107" i="5"/>
  <c r="AE106" i="5"/>
  <c r="AI106" i="5" s="1"/>
  <c r="AC106" i="5"/>
  <c r="AB106" i="5"/>
  <c r="AE105" i="5"/>
  <c r="AI105" i="5" s="1"/>
  <c r="AC105" i="5"/>
  <c r="AB105" i="5"/>
  <c r="AE104" i="5"/>
  <c r="AF104" i="5" s="1"/>
  <c r="AC104" i="5"/>
  <c r="AB104" i="5"/>
  <c r="AE103" i="5"/>
  <c r="AI103" i="5" s="1"/>
  <c r="AC103" i="5"/>
  <c r="AB103" i="5"/>
  <c r="AE102" i="5"/>
  <c r="AI102" i="5" s="1"/>
  <c r="AC102" i="5"/>
  <c r="AB102" i="5"/>
  <c r="AE101" i="5"/>
  <c r="AI101" i="5" s="1"/>
  <c r="AC101" i="5"/>
  <c r="AB101" i="5"/>
  <c r="AC100" i="5"/>
  <c r="AB100" i="5"/>
  <c r="AE100" i="5" s="1"/>
  <c r="AE99" i="5"/>
  <c r="AI99" i="5" s="1"/>
  <c r="AC99" i="5"/>
  <c r="AB99" i="5"/>
  <c r="AE98" i="5"/>
  <c r="AF98" i="5" s="1"/>
  <c r="AC98" i="5"/>
  <c r="AB98" i="5"/>
  <c r="AE97" i="5"/>
  <c r="AI97" i="5" s="1"/>
  <c r="AC97" i="5"/>
  <c r="AB97" i="5"/>
  <c r="AE96" i="5"/>
  <c r="AI96" i="5" s="1"/>
  <c r="AC96" i="5"/>
  <c r="AB96" i="5"/>
  <c r="AE95" i="5"/>
  <c r="AI95" i="5" s="1"/>
  <c r="AC95" i="5"/>
  <c r="AB95" i="5"/>
  <c r="AE94" i="5"/>
  <c r="AI94" i="5" s="1"/>
  <c r="AC94" i="5"/>
  <c r="AB94" i="5"/>
  <c r="AE93" i="5"/>
  <c r="AF93" i="5" s="1"/>
  <c r="AC93" i="5"/>
  <c r="AB93" i="5"/>
  <c r="AC92" i="5"/>
  <c r="AB92" i="5"/>
  <c r="AE92" i="5" s="1"/>
  <c r="AE91" i="5"/>
  <c r="AI91" i="5" s="1"/>
  <c r="AC91" i="5"/>
  <c r="AB91" i="5"/>
  <c r="AE90" i="5"/>
  <c r="AI90" i="5" s="1"/>
  <c r="AC90" i="5"/>
  <c r="AB90" i="5"/>
  <c r="AE89" i="5"/>
  <c r="AI89" i="5" s="1"/>
  <c r="AC89" i="5"/>
  <c r="AB89" i="5"/>
  <c r="AE88" i="5"/>
  <c r="AI88" i="5" s="1"/>
  <c r="AC88" i="5"/>
  <c r="AB88" i="5"/>
  <c r="AE87" i="5"/>
  <c r="AI87" i="5" s="1"/>
  <c r="AC87" i="5"/>
  <c r="AB87" i="5"/>
  <c r="AE86" i="5"/>
  <c r="AF86" i="5" s="1"/>
  <c r="AC86" i="5"/>
  <c r="AB86" i="5"/>
  <c r="AE85" i="5"/>
  <c r="AI85" i="5" s="1"/>
  <c r="AC85" i="5"/>
  <c r="AB85" i="5"/>
  <c r="AC84" i="5"/>
  <c r="AB84" i="5"/>
  <c r="AE83" i="5"/>
  <c r="AI83" i="5" s="1"/>
  <c r="AC83" i="5"/>
  <c r="AB83" i="5"/>
  <c r="AE82" i="5"/>
  <c r="AI82" i="5" s="1"/>
  <c r="AC82" i="5"/>
  <c r="AB82" i="5"/>
  <c r="AE81" i="5"/>
  <c r="AI81" i="5" s="1"/>
  <c r="AC81" i="5"/>
  <c r="AB81" i="5"/>
  <c r="AE80" i="5"/>
  <c r="AF80" i="5" s="1"/>
  <c r="AC80" i="5"/>
  <c r="AB80" i="5"/>
  <c r="AE79" i="5"/>
  <c r="AI79" i="5" s="1"/>
  <c r="AC79" i="5"/>
  <c r="AB79" i="5"/>
  <c r="AE78" i="5"/>
  <c r="AI78" i="5" s="1"/>
  <c r="AC78" i="5"/>
  <c r="AB78" i="5"/>
  <c r="AE77" i="5"/>
  <c r="AI77" i="5" s="1"/>
  <c r="AC77" i="5"/>
  <c r="AB77" i="5"/>
  <c r="AC76" i="5"/>
  <c r="AB76" i="5"/>
  <c r="AE76" i="5" s="1"/>
  <c r="AE75" i="5"/>
  <c r="AI75" i="5" s="1"/>
  <c r="AC75" i="5"/>
  <c r="AB75" i="5"/>
  <c r="AE74" i="5"/>
  <c r="AI74" i="5" s="1"/>
  <c r="AC74" i="5"/>
  <c r="AB74" i="5"/>
  <c r="AE73" i="5"/>
  <c r="AF73" i="5" s="1"/>
  <c r="AC73" i="5"/>
  <c r="AB73" i="5"/>
  <c r="AC72" i="5"/>
  <c r="AB72" i="5"/>
  <c r="AE72" i="5" s="1"/>
  <c r="AI72" i="5" s="1"/>
  <c r="AE71" i="5"/>
  <c r="AI71" i="5" s="1"/>
  <c r="AC71" i="5"/>
  <c r="AB71" i="5"/>
  <c r="AE70" i="5"/>
  <c r="AI70" i="5" s="1"/>
  <c r="AC70" i="5"/>
  <c r="AB70" i="5"/>
  <c r="AC69" i="5"/>
  <c r="AB69" i="5"/>
  <c r="AE69" i="5" s="1"/>
  <c r="AE68" i="5"/>
  <c r="AF68" i="5" s="1"/>
  <c r="AC68" i="5"/>
  <c r="AB68" i="5"/>
  <c r="AE67" i="5"/>
  <c r="AI67" i="5" s="1"/>
  <c r="AC67" i="5"/>
  <c r="AB67" i="5"/>
  <c r="AE66" i="5"/>
  <c r="AI66" i="5" s="1"/>
  <c r="AC66" i="5"/>
  <c r="AB66" i="5"/>
  <c r="AE65" i="5"/>
  <c r="AI65" i="5" s="1"/>
  <c r="AC65" i="5"/>
  <c r="AB65" i="5"/>
  <c r="AE64" i="5"/>
  <c r="AI64" i="5" s="1"/>
  <c r="AC64" i="5"/>
  <c r="AB64" i="5"/>
  <c r="AE63" i="5"/>
  <c r="AI63" i="5" s="1"/>
  <c r="AC63" i="5"/>
  <c r="AB63" i="5"/>
  <c r="AC62" i="5"/>
  <c r="AB62" i="5"/>
  <c r="AE62" i="5" s="1"/>
  <c r="AE61" i="5"/>
  <c r="AF61" i="5" s="1"/>
  <c r="AC61" i="5"/>
  <c r="AB61" i="5"/>
  <c r="AE60" i="5"/>
  <c r="AI60" i="5" s="1"/>
  <c r="AC60" i="5"/>
  <c r="AB60" i="5"/>
  <c r="AE59" i="5"/>
  <c r="AI59" i="5" s="1"/>
  <c r="AC59" i="5"/>
  <c r="AB59" i="5"/>
  <c r="AE58" i="5"/>
  <c r="AI58" i="5" s="1"/>
  <c r="AC58" i="5"/>
  <c r="AB58" i="5"/>
  <c r="AE57" i="5"/>
  <c r="AF57" i="5" s="1"/>
  <c r="AC57" i="5"/>
  <c r="AB57" i="5"/>
  <c r="AE56" i="5"/>
  <c r="AI56" i="5" s="1"/>
  <c r="AC56" i="5"/>
  <c r="AB56" i="5"/>
  <c r="AE55" i="5"/>
  <c r="AI55" i="5" s="1"/>
  <c r="AC55" i="5"/>
  <c r="AB55" i="5"/>
  <c r="AE54" i="5"/>
  <c r="AI54" i="5" s="1"/>
  <c r="AC54" i="5"/>
  <c r="AB54" i="5"/>
  <c r="AE53" i="5"/>
  <c r="AI53" i="5" s="1"/>
  <c r="AC53" i="5"/>
  <c r="AB53" i="5"/>
  <c r="AE52" i="5"/>
  <c r="AI52" i="5" s="1"/>
  <c r="AC52" i="5"/>
  <c r="AB52" i="5"/>
  <c r="AE51" i="5"/>
  <c r="AI51" i="5" s="1"/>
  <c r="AC51" i="5"/>
  <c r="AB51" i="5"/>
  <c r="AE50" i="5"/>
  <c r="AI50" i="5" s="1"/>
  <c r="AC50" i="5"/>
  <c r="AB50" i="5"/>
  <c r="AE49" i="5"/>
  <c r="AI49" i="5" s="1"/>
  <c r="AC49" i="5"/>
  <c r="AB49" i="5"/>
  <c r="AE48" i="5"/>
  <c r="AI48" i="5" s="1"/>
  <c r="AC48" i="5"/>
  <c r="AB48" i="5"/>
  <c r="AE47" i="5"/>
  <c r="AI47" i="5" s="1"/>
  <c r="AC47" i="5"/>
  <c r="AB47" i="5"/>
  <c r="AE46" i="5"/>
  <c r="AI46" i="5" s="1"/>
  <c r="AC46" i="5"/>
  <c r="AB46" i="5"/>
  <c r="AE45" i="5"/>
  <c r="AF45" i="5" s="1"/>
  <c r="AC45" i="5"/>
  <c r="AB45" i="5"/>
  <c r="AC44" i="5"/>
  <c r="AB44" i="5"/>
  <c r="AE44" i="5" s="1"/>
  <c r="AE43" i="5"/>
  <c r="AI43" i="5" s="1"/>
  <c r="AC43" i="5"/>
  <c r="AB43" i="5"/>
  <c r="AE42" i="5"/>
  <c r="AI42" i="5" s="1"/>
  <c r="AC42" i="5"/>
  <c r="AB42" i="5"/>
  <c r="AE41" i="5"/>
  <c r="AI41" i="5" s="1"/>
  <c r="AC41" i="5"/>
  <c r="AB41" i="5"/>
  <c r="AE40" i="5"/>
  <c r="AI40" i="5" s="1"/>
  <c r="AC40" i="5"/>
  <c r="AB40" i="5"/>
  <c r="AE39" i="5"/>
  <c r="AI39" i="5" s="1"/>
  <c r="AC39" i="5"/>
  <c r="AB39" i="5"/>
  <c r="AE38" i="5"/>
  <c r="AF38" i="5" s="1"/>
  <c r="AC38" i="5"/>
  <c r="AB38" i="5"/>
  <c r="AE37" i="5"/>
  <c r="AI37" i="5" s="1"/>
  <c r="AC37" i="5"/>
  <c r="AB37" i="5"/>
  <c r="AE36" i="5"/>
  <c r="AI36" i="5" s="1"/>
  <c r="AC36" i="5"/>
  <c r="AB36" i="5"/>
  <c r="AC35" i="5"/>
  <c r="AB35" i="5"/>
  <c r="AE35" i="5" s="1"/>
  <c r="AI35" i="5" s="1"/>
  <c r="AE34" i="5"/>
  <c r="AI34" i="5" s="1"/>
  <c r="AC34" i="5"/>
  <c r="AB34" i="5"/>
  <c r="AE33" i="5"/>
  <c r="AF33" i="5" s="1"/>
  <c r="AC33" i="5"/>
  <c r="AB33" i="5"/>
  <c r="AE32" i="5"/>
  <c r="AF32" i="5" s="1"/>
  <c r="AC32" i="5"/>
  <c r="AB32" i="5"/>
  <c r="AE31" i="5"/>
  <c r="AI31" i="5" s="1"/>
  <c r="AC31" i="5"/>
  <c r="AB31" i="5"/>
  <c r="AE30" i="5"/>
  <c r="AI30" i="5" s="1"/>
  <c r="AC30" i="5"/>
  <c r="AB30" i="5"/>
  <c r="AE29" i="5"/>
  <c r="AI29" i="5" s="1"/>
  <c r="AC29" i="5"/>
  <c r="AB29" i="5"/>
  <c r="AC28" i="5"/>
  <c r="AB28" i="5"/>
  <c r="AE28" i="5" s="1"/>
  <c r="AE27" i="5"/>
  <c r="AF27" i="5" s="1"/>
  <c r="AC27" i="5"/>
  <c r="AB27" i="5"/>
  <c r="AE26" i="5"/>
  <c r="AI26" i="5" s="1"/>
  <c r="AC26" i="5"/>
  <c r="AB26" i="5"/>
  <c r="AE25" i="5"/>
  <c r="AF25" i="5" s="1"/>
  <c r="AC25" i="5"/>
  <c r="AB25" i="5"/>
  <c r="AE24" i="5"/>
  <c r="AI24" i="5" s="1"/>
  <c r="AC24" i="5"/>
  <c r="AB24" i="5"/>
  <c r="AE23" i="5"/>
  <c r="AI23" i="5" s="1"/>
  <c r="AC23" i="5"/>
  <c r="AB23" i="5"/>
  <c r="AE22" i="5"/>
  <c r="AI22" i="5" s="1"/>
  <c r="AC22" i="5"/>
  <c r="AB22" i="5"/>
  <c r="AE21" i="5"/>
  <c r="AI21" i="5" s="1"/>
  <c r="AC21" i="5"/>
  <c r="AB21" i="5"/>
  <c r="AE20" i="5"/>
  <c r="AI20" i="5" s="1"/>
  <c r="AC20" i="5"/>
  <c r="AB20" i="5"/>
  <c r="AE19" i="5"/>
  <c r="AI19" i="5" s="1"/>
  <c r="AC19" i="5"/>
  <c r="AB19" i="5"/>
  <c r="AE18" i="5"/>
  <c r="AI18" i="5" s="1"/>
  <c r="AC18" i="5"/>
  <c r="AB18" i="5"/>
  <c r="AE17" i="5"/>
  <c r="AI17" i="5" s="1"/>
  <c r="AC17" i="5"/>
  <c r="AB17" i="5"/>
  <c r="AC16" i="5"/>
  <c r="AB16" i="5"/>
  <c r="AE16" i="5" s="1"/>
  <c r="AE15" i="5"/>
  <c r="AF15" i="5" s="1"/>
  <c r="AC15" i="5"/>
  <c r="AB15" i="5"/>
  <c r="AE14" i="5"/>
  <c r="AI14" i="5" s="1"/>
  <c r="AC14" i="5"/>
  <c r="AB14" i="5"/>
  <c r="AE13" i="5"/>
  <c r="AI13" i="5" s="1"/>
  <c r="AC13" i="5"/>
  <c r="AB13" i="5"/>
  <c r="AE12" i="5"/>
  <c r="AI12" i="5" s="1"/>
  <c r="AC12" i="5"/>
  <c r="AB12" i="5"/>
  <c r="AE11" i="5"/>
  <c r="AI11" i="5" s="1"/>
  <c r="AC11" i="5"/>
  <c r="AB11" i="5"/>
  <c r="AE10" i="5"/>
  <c r="AI10" i="5" s="1"/>
  <c r="AC10" i="5"/>
  <c r="AB10" i="5"/>
  <c r="AE9" i="5"/>
  <c r="AI9" i="5" s="1"/>
  <c r="AC9" i="5"/>
  <c r="AB9" i="5"/>
  <c r="AE8" i="5"/>
  <c r="AI8" i="5" s="1"/>
  <c r="AC8" i="5"/>
  <c r="AB8" i="5"/>
  <c r="AE7" i="5"/>
  <c r="AI7" i="5" s="1"/>
  <c r="AC7" i="5"/>
  <c r="AB7" i="5"/>
  <c r="AE6" i="5"/>
  <c r="AI6" i="5" s="1"/>
  <c r="AC6" i="5"/>
  <c r="AB6" i="5"/>
  <c r="AC5" i="5"/>
  <c r="AB5" i="5"/>
  <c r="AE5" i="5" s="1"/>
  <c r="AE4" i="5"/>
  <c r="AI4" i="5" s="1"/>
  <c r="AC4" i="5"/>
  <c r="AB4" i="5"/>
  <c r="AE3" i="5"/>
  <c r="AF3" i="5" s="1"/>
  <c r="AC3" i="5"/>
  <c r="AB3" i="5"/>
  <c r="AE2" i="5"/>
  <c r="AI2" i="5" s="1"/>
  <c r="AC2" i="5"/>
  <c r="AB2" i="5"/>
  <c r="AI57" i="5" l="1"/>
  <c r="AF41" i="5"/>
  <c r="AI45" i="5"/>
  <c r="AI68" i="5"/>
  <c r="AF89" i="5"/>
  <c r="AI98" i="5"/>
  <c r="AI104" i="5"/>
  <c r="AF4" i="5"/>
  <c r="AF56" i="5"/>
  <c r="AI140" i="5"/>
  <c r="AF105" i="5"/>
  <c r="AF109" i="5"/>
  <c r="AI129" i="5"/>
  <c r="AF149" i="5"/>
  <c r="AF9" i="5"/>
  <c r="AI134" i="5"/>
  <c r="AI158" i="5"/>
  <c r="AE84" i="5"/>
  <c r="AF84" i="5" s="1"/>
  <c r="AI62" i="5"/>
  <c r="AF62" i="5"/>
  <c r="AI15" i="5"/>
  <c r="AF101" i="5"/>
  <c r="AF115" i="5"/>
  <c r="AF177" i="5"/>
  <c r="AI38" i="5"/>
  <c r="AF53" i="5"/>
  <c r="AI86" i="5"/>
  <c r="AI152" i="5"/>
  <c r="AF163" i="5"/>
  <c r="AF185" i="5"/>
  <c r="AI32" i="5"/>
  <c r="AI182" i="5"/>
  <c r="AI157" i="5"/>
  <c r="AF81" i="5"/>
  <c r="AF110" i="5"/>
  <c r="AI176" i="5"/>
  <c r="AI33" i="5"/>
  <c r="AF37" i="5"/>
  <c r="AF85" i="5"/>
  <c r="AF169" i="5"/>
  <c r="AF13" i="5"/>
  <c r="AI80" i="5"/>
  <c r="AF127" i="5"/>
  <c r="AF146" i="5"/>
  <c r="AF153" i="5"/>
  <c r="AF17" i="5"/>
  <c r="AI73" i="5"/>
  <c r="AF77" i="5"/>
  <c r="AF124" i="5"/>
  <c r="AF139" i="5"/>
  <c r="AI3" i="5"/>
  <c r="AI25" i="5"/>
  <c r="AI117" i="5"/>
  <c r="AI121" i="5"/>
  <c r="AF173" i="5"/>
  <c r="AF116" i="5"/>
  <c r="AF122" i="5"/>
  <c r="AI141" i="5"/>
  <c r="AF164" i="5"/>
  <c r="AF170" i="5"/>
  <c r="AI189" i="5"/>
  <c r="AF151" i="5"/>
  <c r="AF20" i="5"/>
  <c r="AF26" i="5"/>
  <c r="AF49" i="5"/>
  <c r="AI61" i="5"/>
  <c r="AF64" i="5"/>
  <c r="AF74" i="5"/>
  <c r="AI93" i="5"/>
  <c r="AF52" i="5"/>
  <c r="AF97" i="5"/>
  <c r="AF113" i="5"/>
  <c r="AF125" i="5"/>
  <c r="AF145" i="5"/>
  <c r="AF161" i="5"/>
  <c r="AF8" i="5"/>
  <c r="AF14" i="5"/>
  <c r="AF181" i="5"/>
  <c r="AF29" i="5"/>
  <c r="AF133" i="5"/>
  <c r="AF2" i="5"/>
  <c r="AF21" i="5"/>
  <c r="AI27" i="5"/>
  <c r="AF40" i="5"/>
  <c r="AF50" i="5"/>
  <c r="AF65" i="5"/>
  <c r="AF79" i="5"/>
  <c r="AF88" i="5"/>
  <c r="AF91" i="5"/>
  <c r="AF165" i="5"/>
  <c r="AF175" i="5"/>
  <c r="AF184" i="5"/>
  <c r="AF187" i="5"/>
  <c r="AF103" i="5"/>
  <c r="AF137" i="5"/>
  <c r="AI136" i="5"/>
  <c r="AF136" i="5"/>
  <c r="AF5" i="5"/>
  <c r="AI5" i="5"/>
  <c r="AI69" i="5"/>
  <c r="AF69" i="5"/>
  <c r="AI76" i="5"/>
  <c r="AF76" i="5"/>
  <c r="AI172" i="5"/>
  <c r="AF172" i="5"/>
  <c r="AI100" i="5"/>
  <c r="AF100" i="5"/>
  <c r="AI148" i="5"/>
  <c r="AF148" i="5"/>
  <c r="AI28" i="5"/>
  <c r="AF28" i="5"/>
  <c r="AI92" i="5"/>
  <c r="AF92" i="5"/>
  <c r="AI188" i="5"/>
  <c r="AF188" i="5"/>
  <c r="AI44" i="5"/>
  <c r="AF44" i="5"/>
  <c r="AI112" i="5"/>
  <c r="AF112" i="5"/>
  <c r="AI160" i="5"/>
  <c r="AF160" i="5"/>
  <c r="AI16" i="5"/>
  <c r="AF16" i="5"/>
  <c r="AI128" i="5"/>
  <c r="AF128" i="5"/>
  <c r="AF10" i="5"/>
  <c r="AF22" i="5"/>
  <c r="AF34" i="5"/>
  <c r="AF46" i="5"/>
  <c r="AF58" i="5"/>
  <c r="AF70" i="5"/>
  <c r="AF82" i="5"/>
  <c r="AF94" i="5"/>
  <c r="AF106" i="5"/>
  <c r="AF118" i="5"/>
  <c r="AF130" i="5"/>
  <c r="AF142" i="5"/>
  <c r="AF154" i="5"/>
  <c r="AF166" i="5"/>
  <c r="AF178" i="5"/>
  <c r="AF190" i="5"/>
  <c r="AF39" i="5"/>
  <c r="AF51" i="5"/>
  <c r="AF63" i="5"/>
  <c r="AF75" i="5"/>
  <c r="AF87" i="5"/>
  <c r="AF99" i="5"/>
  <c r="AF111" i="5"/>
  <c r="AF123" i="5"/>
  <c r="AF135" i="5"/>
  <c r="AF147" i="5"/>
  <c r="AF159" i="5"/>
  <c r="AF171" i="5"/>
  <c r="AF183" i="5"/>
  <c r="AF6" i="5"/>
  <c r="AF18" i="5"/>
  <c r="AF30" i="5"/>
  <c r="AF42" i="5"/>
  <c r="AF54" i="5"/>
  <c r="AF66" i="5"/>
  <c r="AF78" i="5"/>
  <c r="AF90" i="5"/>
  <c r="AF102" i="5"/>
  <c r="AF114" i="5"/>
  <c r="AF126" i="5"/>
  <c r="AF138" i="5"/>
  <c r="AF150" i="5"/>
  <c r="AF162" i="5"/>
  <c r="AF174" i="5"/>
  <c r="AF186" i="5"/>
  <c r="AF11" i="5"/>
  <c r="AF23" i="5"/>
  <c r="AF35" i="5"/>
  <c r="AF47" i="5"/>
  <c r="AF59" i="5"/>
  <c r="AF71" i="5"/>
  <c r="AF83" i="5"/>
  <c r="AF95" i="5"/>
  <c r="AF107" i="5"/>
  <c r="AF119" i="5"/>
  <c r="AF131" i="5"/>
  <c r="AF143" i="5"/>
  <c r="AF155" i="5"/>
  <c r="AF167" i="5"/>
  <c r="AF179" i="5"/>
  <c r="AF191" i="5"/>
  <c r="AF7" i="5"/>
  <c r="AF19" i="5"/>
  <c r="AF31" i="5"/>
  <c r="AF43" i="5"/>
  <c r="AF55" i="5"/>
  <c r="AF67" i="5"/>
  <c r="AF12" i="5"/>
  <c r="AF24" i="5"/>
  <c r="AF36" i="5"/>
  <c r="AF48" i="5"/>
  <c r="AF60" i="5"/>
  <c r="AF72" i="5"/>
  <c r="AF96" i="5"/>
  <c r="AF108" i="5"/>
  <c r="AF120" i="5"/>
  <c r="AF132" i="5"/>
  <c r="AF144" i="5"/>
  <c r="AF156" i="5"/>
  <c r="AF168" i="5"/>
  <c r="AF180" i="5"/>
  <c r="AF192" i="5"/>
  <c r="AI84" i="5" l="1"/>
</calcChain>
</file>

<file path=xl/sharedStrings.xml><?xml version="1.0" encoding="utf-8"?>
<sst xmlns="http://schemas.openxmlformats.org/spreadsheetml/2006/main" count="4113" uniqueCount="705">
  <si>
    <t>Seller</t>
  </si>
  <si>
    <t>Origin Country</t>
  </si>
  <si>
    <t>Destination Country</t>
  </si>
  <si>
    <t>Product Type</t>
  </si>
  <si>
    <t>Product Name</t>
  </si>
  <si>
    <t>Product Description (declared)</t>
  </si>
  <si>
    <t>VAT Category (declared)</t>
  </si>
  <si>
    <t>VAT Subcategory (declared)</t>
  </si>
  <si>
    <t>VAT Code (declared)</t>
  </si>
  <si>
    <t>VAT Rate Type</t>
  </si>
  <si>
    <t>VAT Rate (%)</t>
  </si>
  <si>
    <t>VAT Category Problem (Signal)</t>
  </si>
  <si>
    <t>Score 1</t>
  </si>
  <si>
    <t>VAT Category (Recommeded)</t>
  </si>
  <si>
    <t>VAT Subcategory (Recommeded)</t>
  </si>
  <si>
    <t>VAT Code (Recommended)</t>
  </si>
  <si>
    <t>VAT Rate Type (Recommeded)</t>
  </si>
  <si>
    <t>VAT Rate (Recommended)</t>
  </si>
  <si>
    <t>Vague Description (Signal)</t>
  </si>
  <si>
    <t>Score 2</t>
  </si>
  <si>
    <t>Supplier Risk (Signal)</t>
  </si>
  <si>
    <t>Score 3</t>
  </si>
  <si>
    <t>VAT Category Correct (yes/no)</t>
  </si>
  <si>
    <t>Problem count</t>
  </si>
  <si>
    <t>Problem Type</t>
  </si>
  <si>
    <t>Problem Description</t>
  </si>
  <si>
    <t>VAT Exposure</t>
  </si>
  <si>
    <t>Overall Risk Score (Calculated)</t>
  </si>
  <si>
    <t>Overall Risk Level</t>
  </si>
  <si>
    <t>Additional Intelligence</t>
  </si>
  <si>
    <t>Customs Authority Action (Calculated)</t>
  </si>
  <si>
    <t>Tax Authority Action</t>
  </si>
  <si>
    <t>Additional Information for the Recommendation</t>
  </si>
  <si>
    <t>ShenZhen TechGlobal Co.</t>
  </si>
  <si>
    <t>China</t>
  </si>
  <si>
    <t>DE</t>
  </si>
  <si>
    <t>ELECTRONICS &amp; ACCESSORIES</t>
  </si>
  <si>
    <t>Laptop Computer</t>
  </si>
  <si>
    <t>15.6-inch laptop, Intel Core i5, 8GB RAM, 256GB SSD — consumer grade</t>
  </si>
  <si>
    <t>Consumer electronics — general</t>
  </si>
  <si>
    <t>EL-02</t>
  </si>
  <si>
    <t>S</t>
  </si>
  <si>
    <t>No</t>
  </si>
  <si>
    <t>Yes</t>
  </si>
  <si>
    <t>Wireless Earbuds</t>
  </si>
  <si>
    <t>True wireless Bluetooth earbuds with active noise cancellation, IPX4, 6-hour battery</t>
  </si>
  <si>
    <t>Consumer audio device</t>
  </si>
  <si>
    <t>EL-03</t>
  </si>
  <si>
    <t>Phone Charging Case</t>
  </si>
  <si>
    <t>MagSafe-compatible protective case with integrated 5000mAh battery for iPhone 15</t>
  </si>
  <si>
    <t>Mobile phone accessories</t>
  </si>
  <si>
    <t>EL-05</t>
  </si>
  <si>
    <t>FR</t>
  </si>
  <si>
    <t>Premium Audio Earphones</t>
  </si>
  <si>
    <t>In-ear wireless earphones with hearing enhancement mode, 30dB passive noise isolation</t>
  </si>
  <si>
    <t>Hearing aid / medical audio device</t>
  </si>
  <si>
    <t>EL-08</t>
  </si>
  <si>
    <t>R1</t>
  </si>
  <si>
    <t>VAT Misclassification</t>
  </si>
  <si>
    <t>The product 'Premium Audio Earphones' has been declared under 'Hearing aid / medical audio device' (EL-08, 5.5% (R1)) but evidence suggests the correct category is 'Consumer audio device' (EL-03, 20% (S)) for FR. The declared VAT rate is lower than the recommended rate, indicating potential financial impact on VAT revenue.</t>
  </si>
  <si>
    <t>Peers selling similar products under 'Consumer audio device' declare a VAT rate of 20% in FR. This pattern of declaring under 'Hearing aid / medical audio device' at 5.5% is consistent with deliberate misclassification to benefit from a lower rate.</t>
  </si>
  <si>
    <t>Confirm Risk</t>
  </si>
  <si>
    <t>Product declared as 'Hearing aid / medical audio device' but product characteristics and marketing materials align with 'Consumer audio device'. Declared VAT rate of 5.5% is below the recommended 20% applicable for FR.</t>
  </si>
  <si>
    <t>Gaming Laptop</t>
  </si>
  <si>
    <t>17-inch gaming laptop, RTX 4060, 16GB DDR5, 1TB NVMe — consumer gaming use</t>
  </si>
  <si>
    <t>USB-C Hub Adapter</t>
  </si>
  <si>
    <t>7-in-1 USB-C hub with HDMI 4K, 3x USB-A, SD card reader, PD charging</t>
  </si>
  <si>
    <t>Portable Speaker</t>
  </si>
  <si>
    <t>Bluetooth 5.3 portable speaker, 20W output, IP67 waterproof, 24-hour battery</t>
  </si>
  <si>
    <t>Electronic Device Accessories</t>
  </si>
  <si>
    <t>Various accessories for mobile devices</t>
  </si>
  <si>
    <t>VAT Product Description Vague</t>
  </si>
  <si>
    <t>The product description for 'Electronic Device Accessories' does not contain sufficient detail to confirm the declared VAT category. Third-party verification or additional documentation is required to assign the correct VAT treatment.</t>
  </si>
  <si>
    <t>The product description for 'Electronic Device Accessories' does not contain sufficient detail to confirm the declared VAT category. Third-party verification is recommended before releasing the shipment.</t>
  </si>
  <si>
    <t>The description 'Electronic Device Accessories' lacks specifics such as active ingredients, certifications, intended use, or target audience necessary to confirm VAT category. Customs database shows no equivalent prior imports under this seller-category combination.</t>
  </si>
  <si>
    <t>Beijing NovaMed Ltd.</t>
  </si>
  <si>
    <t>Blood Pressure Monitor</t>
  </si>
  <si>
    <t>Upper-arm digital blood pressure monitor, clinically validated, CE-marked, for home use</t>
  </si>
  <si>
    <t>Medical device / diagnostic equipment</t>
  </si>
  <si>
    <t>EL-09</t>
  </si>
  <si>
    <t>COSMETICS &amp; PERSONAL CARE</t>
  </si>
  <si>
    <t>Vitamin C Brightening Serum</t>
  </si>
  <si>
    <t>15% L-ascorbic acid serum, 30ml, non-medicated cosmetic skincare for daily use</t>
  </si>
  <si>
    <t>Cosmetic skincare product</t>
  </si>
  <si>
    <t>CO-01</t>
  </si>
  <si>
    <t>Hydrocortisone Cream 1%</t>
  </si>
  <si>
    <t>1% hydrocortisone acetate topical cream — licensed OTC corticosteroid, CE-marked</t>
  </si>
  <si>
    <t>Dermatological / medical skincare</t>
  </si>
  <si>
    <t>CO-07</t>
  </si>
  <si>
    <t>Nourishing Face Cream</t>
  </si>
  <si>
    <t>Moisturising face cream with hyaluronic acid and ceramides, 50ml, non-medicated</t>
  </si>
  <si>
    <t>Supplier Risk</t>
  </si>
  <si>
    <t>Seller 'Beijing NovaMed Ltd.' exhibits characteristics associated with elevated compliance risk.</t>
  </si>
  <si>
    <t>This seller was recently registered or has limited compliance history in the destination country. Elevated scrutiny is warranted given the absence of a verifiable prior compliance track record.</t>
  </si>
  <si>
    <t>Registered 4 months ago; no prior EU compliance history. Seller 'Beijing NovaMed Ltd.' has been identified as a potential risk entity for destination FR.</t>
  </si>
  <si>
    <t>Pulse Oximeter</t>
  </si>
  <si>
    <t>Fingertip pulse oximeter, FDA-cleared equivalent, CE-marked, measures SpO2 and heart rate</t>
  </si>
  <si>
    <t>Anti-Ageing Moisturiser</t>
  </si>
  <si>
    <t>Retinol-infused non-prescription moisturiser, 50ml, cosmetic category, fragrance-free</t>
  </si>
  <si>
    <t>Anti-Redness Cream</t>
  </si>
  <si>
    <t>Soothing cream for sensitive skin with green tea extract, claimed dermatological formulation, no CE mark or active pharmaceutical ingredient listed</t>
  </si>
  <si>
    <t>VAT Misclassification, Supplier Risk</t>
  </si>
  <si>
    <t>The product 'Anti-Redness Cream' has been declared under 'Dermatological / medical skincare' (CO-07, 7% (R1)) but evidence suggests the correct category is 'Cosmetic skincare product' (CO-01, 19% (S)) for DE. The declared VAT rate is lower than the recommended rate, indicating potential financial impact on VAT revenue. Seller 'Beijing NovaMed Ltd.' exhibits characteristics associated with elevated compliance risk.</t>
  </si>
  <si>
    <t>Peers selling similar products under 'Cosmetic skincare product' declare a VAT rate of 19% in DE. This pattern of declaring under 'Dermatological / medical skincare' at 7% is consistent with deliberate misclassification to benefit from a lower rate.</t>
  </si>
  <si>
    <t>Product declared as 'Dermatological / medical skincare' but product characteristics and marketing materials align with 'Cosmetic skincare product'. Declared VAT rate of 7% is below the recommended 19% applicable for DE. Registered 4 months ago; no prior EU compliance history. Seller 'Beijing NovaMed Ltd.' has been identified as a potential risk entity for destination DE.</t>
  </si>
  <si>
    <t>Shanghai FashionHub Export</t>
  </si>
  <si>
    <t>CLOTHING &amp; TEXTILES</t>
  </si>
  <si>
    <t>Men's Casual Shirt</t>
  </si>
  <si>
    <t>100% cotton button-down shirt, adult male, sizes S–3XL</t>
  </si>
  <si>
    <t>Adult clothing / garments</t>
  </si>
  <si>
    <t>CL-01</t>
  </si>
  <si>
    <t>Women's Leather Ankle Boots</t>
  </si>
  <si>
    <t>Genuine leather ankle boots with rubber sole, adult women's sizing EU 36–42</t>
  </si>
  <si>
    <t>Footwear</t>
  </si>
  <si>
    <t>CL-04</t>
  </si>
  <si>
    <t>Genuine Leather Belt</t>
  </si>
  <si>
    <t>Full-grain leather belt, 35mm width, brass buckle, adult unisex, sizes 80–120cm</t>
  </si>
  <si>
    <t>Fashion accessory</t>
  </si>
  <si>
    <t>CL-05</t>
  </si>
  <si>
    <t>Women's Summer Dress</t>
  </si>
  <si>
    <t>Floral print midi dress, 95% viscose 5% elastane, adult women's sizing EU 34–44</t>
  </si>
  <si>
    <t>Men's Running Trainers</t>
  </si>
  <si>
    <t>Lightweight mesh trainers, rubber outsole, adult male sizing EU 40–47, general athletic use</t>
  </si>
  <si>
    <t>Fashion Sunglasses</t>
  </si>
  <si>
    <t>UV400 polarised sunglasses, acetate frame, non-prescription, fashion accessory</t>
  </si>
  <si>
    <t>Compression Leggings</t>
  </si>
  <si>
    <t>High-compression leggings for health support</t>
  </si>
  <si>
    <t>Medical compression garment</t>
  </si>
  <si>
    <t>CL-07</t>
  </si>
  <si>
    <t>The product description for 'Compression Leggings' does not contain sufficient detail to confirm the declared VAT category. Third-party verification or additional documentation is required to assign the correct VAT treatment.</t>
  </si>
  <si>
    <t>The product description for 'Compression Leggings' does not contain sufficient detail to confirm the declared VAT category. Third-party verification is recommended before releasing the shipment.</t>
  </si>
  <si>
    <t>The description 'Compression Leggings' lacks specifics such as active ingredients, certifications, intended use, or target audience necessary to confirm VAT category. Customs database shows no equivalent prior imports under this seller-category combination.</t>
  </si>
  <si>
    <t>Guangzhou NutriSource Co.</t>
  </si>
  <si>
    <t>FOOD SUPPLEMENTS &amp; VITAMINS</t>
  </si>
  <si>
    <t>Vitamin D3 + K2 Capsules</t>
  </si>
  <si>
    <t>Cholecalciferol 2000 IU + Menaquinone-7 100mcg per capsule, 90 capsules, food supplement</t>
  </si>
  <si>
    <t>Food supplement — vitamins &amp; minerals</t>
  </si>
  <si>
    <t>FS-01</t>
  </si>
  <si>
    <t>Ashwagandha Root Extract</t>
  </si>
  <si>
    <t>KSM-66 ashwagandha root extract 600mg per capsule, 60 capsules, botanical supplement, non-pharmaceutical</t>
  </si>
  <si>
    <t>Food supplement — botanical / herbal</t>
  </si>
  <si>
    <t>FS-03</t>
  </si>
  <si>
    <t>FOOD PRODUCTS</t>
  </si>
  <si>
    <t>Instant Noodle Pack (12-pack)</t>
  </si>
  <si>
    <t>Chicken flavour instant noodles, 85g per sachet, 12-pack, processed food product</t>
  </si>
  <si>
    <t>Processed food / prepared meals</t>
  </si>
  <si>
    <t>FP-02</t>
  </si>
  <si>
    <t>Multivitamin Complex</t>
  </si>
  <si>
    <t>Complete A–Z multivitamin tablet with 24 vitamins and minerals, 180 tablets, non-pharmaceutical food supplement</t>
  </si>
  <si>
    <t>Vitamin C 1000mg Effervescent Tablets</t>
  </si>
  <si>
    <t>Vitamin C supplement presented in pharmaceutical blister packaging with dosage leaflet; product not registered as a licensed medicine</t>
  </si>
  <si>
    <t>Pharmaceutical / medicinal product</t>
  </si>
  <si>
    <t>CO-06</t>
  </si>
  <si>
    <t>SR</t>
  </si>
  <si>
    <t>The product 'Vitamin C 1000mg Effervescent Tablets' has been declared under 'Pharmaceutical / medicinal product' (CO-06, 2.1% (SR)) but evidence suggests the correct category is 'Food supplement — vitamins &amp; minerals' (FS-01, 5.5% (R1)) for FR. The declared VAT rate is lower than the recommended rate, indicating potential financial impact on VAT revenue.</t>
  </si>
  <si>
    <t>Peers selling similar products under 'Food supplement — vitamins &amp; minerals' declare a VAT rate of 5.5% in FR. This pattern of declaring under 'Pharmaceutical / medicinal product' at 2.1% is consistent with deliberate misclassification to benefit from a lower rate.</t>
  </si>
  <si>
    <t>Product declared as 'Pharmaceutical / medicinal product' but product characteristics and marketing materials align with 'Food supplement — vitamins &amp; minerals'. Declared VAT rate of 2.1% is below the recommended 5.5% applicable for FR.</t>
  </si>
  <si>
    <t>Turmeric &amp; Black Pepper Capsules</t>
  </si>
  <si>
    <t>Turmeric root powder 500mg with BioPerine 5mg per capsule, 120 capsules, food supplement, non-medicated</t>
  </si>
  <si>
    <t>Health Supplement Powder</t>
  </si>
  <si>
    <t>Natural supplement blend in powder form for daily use</t>
  </si>
  <si>
    <t>The product description for 'Health Supplement Powder' does not contain sufficient detail to confirm the declared VAT category. Third-party verification or additional documentation is required to assign the correct VAT treatment.</t>
  </si>
  <si>
    <t>The product description for 'Health Supplement Powder' does not contain sufficient detail to confirm the declared VAT category. Third-party verification is recommended before releasing the shipment.</t>
  </si>
  <si>
    <t>The description 'Health Supplement Powder' lacks specifics such as active ingredients, certifications, intended use, or target audience necessary to confirm VAT category. Customs database shows no equivalent prior imports under this seller-category combination.</t>
  </si>
  <si>
    <t>Chengdu KidWorld Exports</t>
  </si>
  <si>
    <t>TOYS</t>
  </si>
  <si>
    <t>Wooden Building Blocks Set</t>
  </si>
  <si>
    <t>100-piece natural hardwood building blocks, non-toxic paint, EN71-certified, ages 3+</t>
  </si>
  <si>
    <t>Toy — general (non-electronic)</t>
  </si>
  <si>
    <t>TO-01</t>
  </si>
  <si>
    <t>Remote Control Racing Car</t>
  </si>
  <si>
    <t>1:18 scale RC racing car, 2.4GHz, 30km/h, rechargeable battery, ages 6+</t>
  </si>
  <si>
    <t>Electronic toy / children's gadget</t>
  </si>
  <si>
    <t>TO-02</t>
  </si>
  <si>
    <t>Slime Science Kit</t>
  </si>
  <si>
    <t>DIY slime-making kit, 8 colour pigments, 500ml activator, safety-tested, ages 8+</t>
  </si>
  <si>
    <t>Craft &amp; hobby kit for children</t>
  </si>
  <si>
    <t>TO-06</t>
  </si>
  <si>
    <t>Foam Puzzle Floor Mat</t>
  </si>
  <si>
    <t>Interlocking EVA foam floor tiles with alphabet and number cutouts, 36 pieces, ages 2+</t>
  </si>
  <si>
    <t>Alphabet Letter Toy Set</t>
  </si>
  <si>
    <t>Plastic alphabet letter tiles for children — marketed as educational flashcards but product is a tactile plastic toy with no curricular content or certification</t>
  </si>
  <si>
    <t>Educational material for children</t>
  </si>
  <si>
    <t>TO-03</t>
  </si>
  <si>
    <t>The product 'Alphabet Letter Toy Set' has been declared under 'Educational material for children' (TO-03, 7% (R1)) but evidence suggests the correct category is 'Toy — general (non-electronic)' (TO-01, 19% (S)) for DE. The declared VAT rate is lower than the recommended rate, indicating potential financial impact on VAT revenue. Seller 'Chengdu KidWorld Exports' exhibits characteristics associated with elevated compliance risk.</t>
  </si>
  <si>
    <t>Peers selling similar products under 'Toy — general (non-electronic)' declare a VAT rate of 19% in DE. This pattern of declaring under 'Educational material for children' at 7% is consistent with deliberate misclassification to benefit from a lower rate.</t>
  </si>
  <si>
    <t>Product declared as 'Educational material for children' but product characteristics and marketing materials align with 'Toy — general (non-electronic)'. Declared VAT rate of 7% is below the recommended 19% applicable for DE. Flagged for under-declared values on 3 prior shipments; compliance score below threshold. Seller 'Chengdu KidWorld Exports' has been identified as a potential risk entity for destination DE.</t>
  </si>
  <si>
    <t>Children's Painting Set</t>
  </si>
  <si>
    <t>24-colour washable paint set, 6 brushes, colouring book included, ages 5+, EN71-certified</t>
  </si>
  <si>
    <t>Robot Building Kit</t>
  </si>
  <si>
    <t>Electronic programmable robot kit, 150 components, Bluetooth-controlled, ages 10+</t>
  </si>
  <si>
    <t>Seller 'Chengdu KidWorld Exports' exhibits characteristics associated with elevated compliance risk.</t>
  </si>
  <si>
    <t>Flagged for under-declared values on 3 prior shipments; compliance score below threshold. Seller 'Chengdu KidWorld Exports' has been identified as a potential risk entity for destination DE.</t>
  </si>
  <si>
    <t>Mumbai TechTrade Pvt Ltd</t>
  </si>
  <si>
    <t>India</t>
  </si>
  <si>
    <t>NL</t>
  </si>
  <si>
    <t>4G LTE Mobile Hotspot Router</t>
  </si>
  <si>
    <t>Portable 4G LTE Wi-Fi hotspot, supports 10 devices, unlocked SIM, 300Mbps download</t>
  </si>
  <si>
    <t>Telecommunications equipment</t>
  </si>
  <si>
    <t>EL-01</t>
  </si>
  <si>
    <t>IE</t>
  </si>
  <si>
    <t>USB-C to USB-A Cable (3-pack)</t>
  </si>
  <si>
    <t>1m braided USB-C to USB-A cable, 3A/60W charging, data transfer 480Mbps, 3-pack</t>
  </si>
  <si>
    <t>Electronic cables &amp; connectors</t>
  </si>
  <si>
    <t>EL-04</t>
  </si>
  <si>
    <t>Mirrorless Digital Camera</t>
  </si>
  <si>
    <t>24MP APS-C mirrorless camera, kit lens 18-55mm, 4K video, Wi-Fi, consumer photography</t>
  </si>
  <si>
    <t>Photographic &amp; optical equipment</t>
  </si>
  <si>
    <t>EL-07</t>
  </si>
  <si>
    <t>Dual-SIM Smartphone</t>
  </si>
  <si>
    <t>6.7-inch AMOLED, Snapdragon 8 Gen 2, 256GB, dual-SIM, 5G-capable</t>
  </si>
  <si>
    <t>HDMI 2.1 Cable</t>
  </si>
  <si>
    <t>2m HDMI 2.1 cable, 8K@60Hz / 4K@120Hz, 48Gbps bandwidth, gold-plated connectors</t>
  </si>
  <si>
    <t>Action Camera 4K</t>
  </si>
  <si>
    <t>4K/60fps waterproof action camera, 2-inch touchscreen, 170° wide angle, includes mounting kit</t>
  </si>
  <si>
    <t>Smart Thermal Imager</t>
  </si>
  <si>
    <t>Compact thermal imaging device with smartphone connectivity, declared as medical diagnostic equipment; no CE medical certification found; marketed as outdoor and inspection tool</t>
  </si>
  <si>
    <t>Z</t>
  </si>
  <si>
    <t>The product 'Smart Thermal Imager' has been declared under 'Medical device / diagnostic equipment' (EL-09, 0% (Z)) but evidence suggests the correct category is 'Photographic &amp; optical equipment' (EL-07, 23% (S)) for IE. The declared VAT rate is lower than the recommended rate, indicating potential financial impact on VAT revenue.</t>
  </si>
  <si>
    <t>Peers selling similar products under 'Photographic &amp; optical equipment' declare a VAT rate of 23% in IE. This pattern of declaring under 'Medical device / diagnostic equipment' at 0% is consistent with deliberate misclassification to benefit from a lower rate.</t>
  </si>
  <si>
    <t>Product declared as 'Medical device / diagnostic equipment' but product characteristics and marketing materials align with 'Photographic &amp; optical equipment'. Declared VAT rate of 0% is below the recommended 23% applicable for IE.</t>
  </si>
  <si>
    <t>Delhi PharmaExport Pvt Ltd</t>
  </si>
  <si>
    <t>Ibuprofen 200mg Tablets (24s)</t>
  </si>
  <si>
    <t>Ibuprofen 200mg OTC tablets, blister pack of 24, CE-marked, licensed analgesic/NSAID</t>
  </si>
  <si>
    <t>Antibacterial Hand Soap 500ml</t>
  </si>
  <si>
    <t>Triclosan-free antibacterial liquid hand soap, 500ml pump bottle, general hygiene product</t>
  </si>
  <si>
    <t>Personal hygiene product</t>
  </si>
  <si>
    <t>CO-04</t>
  </si>
  <si>
    <t>Melatonin 1mg Sleep Tablets</t>
  </si>
  <si>
    <t>Melatonin 1mg chewable tablets, 60-count, labelled as food supplement, cherry flavour</t>
  </si>
  <si>
    <t>Sleep / stress supplement</t>
  </si>
  <si>
    <t>FS-07</t>
  </si>
  <si>
    <t>Paracetamol 500mg Caplets (32s)</t>
  </si>
  <si>
    <t>Paracetamol 500mg OTC caplets, 32-count blister pack, licensed medicinal product</t>
  </si>
  <si>
    <t>Seller 'Delhi PharmaExport Pvt Ltd' exhibits characteristics associated with elevated compliance risk.</t>
  </si>
  <si>
    <t>Seller address linked to two dissolved entities in previous 12 months; first transaction in NL/IE. Seller 'Delhi PharmaExport Pvt Ltd' has been identified as a potential risk entity for destination IE.</t>
  </si>
  <si>
    <t>Fluoride Toothpaste 100ml</t>
  </si>
  <si>
    <t>1450ppm fluoride toothpaste, mint flavour, cavity protection, general personal hygiene</t>
  </si>
  <si>
    <t>Wellness Supplement Capsules</t>
  </si>
  <si>
    <t>Capsules for daily health support</t>
  </si>
  <si>
    <t>VAT Product Description Vague, Supplier Risk</t>
  </si>
  <si>
    <t>The product description for 'Wellness Supplement Capsules' does not contain sufficient detail to confirm the declared VAT category. Third-party verification or additional documentation is required to assign the correct VAT treatment. Seller 'Delhi PharmaExport Pvt Ltd' exhibits characteristics associated with elevated compliance risk.</t>
  </si>
  <si>
    <t>The product description for 'Wellness Supplement Capsules' does not contain sufficient detail to confirm the declared VAT category. Third-party verification is recommended before releasing the shipment.</t>
  </si>
  <si>
    <t>The description 'Wellness Supplement Capsules' lacks specifics such as active ingredients, certifications, intended use, or target audience necessary to confirm VAT category. Customs database shows no equivalent prior imports under this seller-category combination. Seller address linked to two dissolved entities in previous 12 months; first transaction in NL/IE. Seller 'Delhi PharmaExport Pvt Ltd' has been identified as a potential risk entity for destination NL.</t>
  </si>
  <si>
    <t>Bengaluru ActiveGear Ltd</t>
  </si>
  <si>
    <t>SPORTS &amp; LEISURE / DIGITAL SERVICES</t>
  </si>
  <si>
    <t>Carbon Fibre Road Bicycle</t>
  </si>
  <si>
    <t>700c carbon frame road bicycle, Shimano 105 groupset, 22-speed, 8.2kg, adult sizing</t>
  </si>
  <si>
    <t>Sports equipment</t>
  </si>
  <si>
    <t>SP-01</t>
  </si>
  <si>
    <t>Running Compression Tights</t>
  </si>
  <si>
    <t>Graduated compression running tights, 80% nylon 20% elastane, adult unisex M–XL</t>
  </si>
  <si>
    <t>Sportswear / performance apparel</t>
  </si>
  <si>
    <t>CL-06</t>
  </si>
  <si>
    <t>Wireless Charging Pad</t>
  </si>
  <si>
    <t>15W Qi wireless charging pad, compatible with all Qi-enabled devices, LED indicator</t>
  </si>
  <si>
    <t>Adjustable Dumbbell Set</t>
  </si>
  <si>
    <t>Adjustable dumbbell pair 5–52.5 lbs, dial-select mechanism, includes storage tray</t>
  </si>
  <si>
    <t>Cycling Jersey Long Sleeve</t>
  </si>
  <si>
    <t>Merino wool blend cycling jersey, long sleeve, rear pockets, UPF 50+, adult S–XL</t>
  </si>
  <si>
    <t>Magnetic Phone Mount for Bike</t>
  </si>
  <si>
    <t>MagSafe-compatible bicycle handlebar mount, 360° rotation, fits 54–80mm bars</t>
  </si>
  <si>
    <t>Medical Support Leggings</t>
  </si>
  <si>
    <t>Support garments for leg circulation — medical-grade compression</t>
  </si>
  <si>
    <t>The product description for 'Medical Support Leggings' does not contain sufficient detail to confirm the declared VAT category. Third-party verification or additional documentation is required to assign the correct VAT treatment.</t>
  </si>
  <si>
    <t>The product description for 'Medical Support Leggings' does not contain sufficient detail to confirm the declared VAT category. Third-party verification is recommended before releasing the shipment.</t>
  </si>
  <si>
    <t>The description 'Medical Support Leggings' lacks specifics such as active ingredients, certifications, intended use, or target audience necessary to confirm VAT category. Customs database shows no equivalent prior imports under this seller-category combination.</t>
  </si>
  <si>
    <t>Chennai FoodCo Exports</t>
  </si>
  <si>
    <t>Basmati Rice 5kg</t>
  </si>
  <si>
    <t>Long-grain white basmati rice, 5kg bag, Grade A, staple food product</t>
  </si>
  <si>
    <t>Basic food / staple foodstuff</t>
  </si>
  <si>
    <t>FP-01</t>
  </si>
  <si>
    <t>Dark Chocolate Bars (box of 12)</t>
  </si>
  <si>
    <t>70% cocoa dark chocolate bars, 100g each, confectionery, box of 12</t>
  </si>
  <si>
    <t>Confectionery — chocolate &amp; sugar</t>
  </si>
  <si>
    <t>FP-03</t>
  </si>
  <si>
    <t>Omega-3 Fish Oil Capsules</t>
  </si>
  <si>
    <t>1000mg fish oil per capsule (EPA 180mg, DHA 120mg), 120 capsules, food supplement</t>
  </si>
  <si>
    <t>Food supplement — omega &amp; fatty acids</t>
  </si>
  <si>
    <t>FS-02</t>
  </si>
  <si>
    <t>Organic Rolled Oats 2kg</t>
  </si>
  <si>
    <t>100% whole grain rolled oats, 2kg bag, certified organic, staple foodstuff, no additives</t>
  </si>
  <si>
    <t>Chocolate-Coated Cereal Bars (24-pack)</t>
  </si>
  <si>
    <t>Oat cereal bars with milk chocolate coating, 40g each, 24-pack — labelled as 'basic cereal food product' despite full chocolate coating</t>
  </si>
  <si>
    <t>The product 'Chocolate-Coated Cereal Bars (24-pack)' has been declared under 'Basic food / staple foodstuff' (FP-01, 9% (R1)) but evidence suggests the correct category is 'Confectionery — chocolate &amp; sugar' (FP-03, 9% (R1)) for NL.</t>
  </si>
  <si>
    <t>Although the declared and recommended VAT categories differ, the applicable VAT rate in NL is identical (9%), so no financial advantage is derived. This may be an administrative error rather than intentional misclassification.</t>
  </si>
  <si>
    <t>Product declared as 'Basic food / staple foodstuff' but product characteristics and marketing materials align with 'Confectionery — chocolate &amp; sugar'.</t>
  </si>
  <si>
    <t>Milk Chocolate Assortment Box</t>
  </si>
  <si>
    <t>Mixed milk chocolate pralines, 200g gift box, confectionery, sugar and cocoa-based product</t>
  </si>
  <si>
    <t>Krill Oil Capsules</t>
  </si>
  <si>
    <t>Antarctic krill oil 500mg per capsule (omega-3 phospholipids), astaxanthin 1.5mg, 60 capsules, food supplement</t>
  </si>
  <si>
    <t>Hyderabad KidsEdu Traders</t>
  </si>
  <si>
    <t>Primary School Workbook Set</t>
  </si>
  <si>
    <t>Certified primary school mathematics and reading workbooks, aligned to Dutch curriculum, 6-book set, ages 6–10</t>
  </si>
  <si>
    <t>BOOKS, PUBLICATIONS &amp; DIGITAL CONTENT</t>
  </si>
  <si>
    <t>Children's Story Book Collection</t>
  </si>
  <si>
    <t>Illustrated story books for children ages 4–8, 10-title box set, paperback, printed publication</t>
  </si>
  <si>
    <t>Physical book / printed publication</t>
  </si>
  <si>
    <t>BP-02</t>
  </si>
  <si>
    <t>University Chemistry Textbook</t>
  </si>
  <si>
    <t>Organic chemistry undergraduate textbook, 1200pp, peer-reviewed, academic publication</t>
  </si>
  <si>
    <t>Educational / academic material</t>
  </si>
  <si>
    <t>BP-03</t>
  </si>
  <si>
    <t>Language Learning Flashcard Set</t>
  </si>
  <si>
    <t>Bilingual vocabulary flashcards for primary school children, 200-card deck, certified educational material</t>
  </si>
  <si>
    <t>Interactive E-Learning App Subscription</t>
  </si>
  <si>
    <t>12-month online subscription to interactive learning platform — a digital service/SaaS product declared under educational publication category; no physical book component</t>
  </si>
  <si>
    <t>Digital content / electronic service</t>
  </si>
  <si>
    <t>BP-04</t>
  </si>
  <si>
    <t>The product 'Interactive E-Learning App Subscription' has been declared under 'Educational / academic material' (BP-03, 0% (Z)) but evidence suggests the correct category is 'Digital content / electronic service' (BP-04, 23% (S)) for IE. The declared VAT rate is lower than the recommended rate, indicating potential financial impact on VAT revenue. Seller 'Hyderabad KidsEdu Traders' exhibits characteristics associated with elevated compliance risk.</t>
  </si>
  <si>
    <t>Peers selling similar products under 'Digital content / electronic service' declare a VAT rate of 23% in IE. This pattern of declaring under 'Educational / academic material' at 0% is consistent with deliberate misclassification to benefit from a lower rate.</t>
  </si>
  <si>
    <t>Product declared as 'Educational / academic material' but product characteristics and marketing materials align with 'Digital content / electronic service'. Declared VAT rate of 0% is below the recommended 23% applicable for IE. New market entrant; registered 5 months ago with no verifiable compliance record in destination country. Seller 'Hyderabad KidsEdu Traders' has been identified as a potential risk entity for destination IE.</t>
  </si>
  <si>
    <t>Dutch Language Grammar Guide</t>
  </si>
  <si>
    <t>Comprehensive Dutch grammar reference book, 380pp, printed, general educational publication</t>
  </si>
  <si>
    <t>STEM Science Experiment Kit</t>
  </si>
  <si>
    <t>Hands-on science experiment kit for children ages 8–12, aligned to primary STEM curriculum, certified educational material</t>
  </si>
  <si>
    <t>Seller 'Hyderabad KidsEdu Traders' exhibits characteristics associated with elevated compliance risk.</t>
  </si>
  <si>
    <t>New market entrant; registered 5 months ago with no verifiable compliance record in destination country. Seller 'Hyderabad KidsEdu Traders' has been identified as a potential risk entity for destination NL.</t>
  </si>
  <si>
    <t>Children's Art &amp; Craft Set</t>
  </si>
  <si>
    <t>Mixed art and craft kit with paints, clay, and stickers for children ages 5+, 30-piece set</t>
  </si>
  <si>
    <t>The product 'Children's Art &amp; Craft Set' has been declared under 'Toy — general (non-electronic)' (TO-01, 20% (S)) but should be classified under 'Craft &amp; hobby kit for children' (TO-06, 20% (S)) for FR. Both categories carry identical VAT rates in France, so no financial advantage was derived. Additionally, seller 'Chengdu KidWorld Exports' exhibits compliance risk characteristics with prior history of under-declared values.</t>
  </si>
  <si>
    <t>Although the declared and recommended VAT categories differ, the applicable VAT rate in FR is identical (20%), so no financial advantage is derived. This may be an administrative error rather than intentional misclassification. However, the seller's prior compliance history warrants continued monitoring.</t>
  </si>
  <si>
    <t>No/Limited Risk</t>
  </si>
  <si>
    <t>Product declared as 'Toy — general (non-electronic)' but product contents (paints, clay, stickers) align with 'Craft &amp; hobby kit for children'. VAT rate in FR is 20% for both TO-01 and TO-06, so no revenue impact. Flagged due to prior compliance flags on this seller including 3 prior shipments with under-declared values.</t>
  </si>
  <si>
    <t>Dual-Band Wi-Fi Router</t>
  </si>
  <si>
    <t>AC2100 dual-band router, 2.4GHz + 5GHz, 4 external antennae, 4x Gigabit LAN, consumer telecommunications equipment</t>
  </si>
  <si>
    <t>Braided USB-C Cable 2m</t>
  </si>
  <si>
    <t>2m nylon-braided USB-C to USB-C cable, 100W PD charging, USB 3.2 Gen2, 10Gbps data transfer</t>
  </si>
  <si>
    <t>Smart TV 55 inch 4K</t>
  </si>
  <si>
    <t>55-inch 4K OLED smart TV, HDR10+, Dolby Vision, Android TV OS, built-in Chromecast</t>
  </si>
  <si>
    <t>Sport Bone Conduction Headset</t>
  </si>
  <si>
    <t>Open-ear bone conduction sport headset, IP68, 8-hour battery, declared as hearing assistance device; no medical certification or audiologist prescription requirement</t>
  </si>
  <si>
    <t>The product 'Sport Bone Conduction Headset' has been declared under 'Hearing aid / medical audio device' (EL-08, 7% (R1)) but evidence indicates the correct category is 'Consumer audio device' (EL-03, 19% (S)) for DE. The declared VAT rate is lower than the rate applicable to the correct category, indicating a potential financial impact on VAT revenue.</t>
  </si>
  <si>
    <t>Peers importing similar products to DE consistently classify under 'Consumer audio device' (EL-03) at 19%. The pattern of declaring under 'Hearing aid / medical audio device' (EL-08) at 7% is consistent with deliberate misclassification to obtain a lower VAT rate.</t>
  </si>
  <si>
    <t>Product declared as 'Hearing aid / medical audio device' (EL-08) but physical product characteristics, packaging, and marketing materials align with 'Consumer audio device' (EL-03). Declared VAT rate of 7% is below the recommended 19% applicable for DE. Peer analysis confirms other sellers importing equivalent products apply the higher rate.</t>
  </si>
  <si>
    <t>HDMI 2.1 Cable 3m</t>
  </si>
  <si>
    <t>3m HDMI 2.1 cable, 48Gbps, 8K@60Hz compatible, gold-plated connectors, nylon braid</t>
  </si>
  <si>
    <t>360° Action Camera</t>
  </si>
  <si>
    <t>5.7K 360-degree action camera, dual lens, AI stitching, waterproof to 10m, consumer content creation</t>
  </si>
  <si>
    <t>MagSafe Wallet Attachment</t>
  </si>
  <si>
    <t>MagSafe-compatible adhesive card holder for iPhone 14/15, holds 3 cards, vegan leather</t>
  </si>
  <si>
    <t>Portable Computing Device</t>
  </si>
  <si>
    <t>Compact electronic device suitable for computing tasks</t>
  </si>
  <si>
    <t>The product description for 'Portable Computing Device' does not contain sufficient detail to confirm the declared VAT category. Third-party verification or supplementary documentation from the importer is required to assign the correct VAT treatment.</t>
  </si>
  <si>
    <t>The product description for 'Portable Computing Device' does not contain sufficient detail to confirm the declared VAT category. Third-party verification is recommended before releasing the shipment.</t>
  </si>
  <si>
    <t>Description 'Portable Computing Device' provides insufficient product detail. Key missing data: active ingredients, CE certifications, target demographic, intended use, or HS code alignment. No prior import history exists under this seller-category-destination combination for cross-referencing.</t>
  </si>
  <si>
    <t>4G Mobile Wi-Fi Hotspot</t>
  </si>
  <si>
    <t>4G LTE mobile hotspot, 150Mbps download, supports 10 simultaneous users, unlocked, SIM-free</t>
  </si>
  <si>
    <t>Soundbar 2.1 Channel</t>
  </si>
  <si>
    <t>120W 2.1 channel soundbar with wireless subwoofer, Dolby Atmos, HDMI ARC, Bluetooth 5.0</t>
  </si>
  <si>
    <t>Digital SLR Camera Body</t>
  </si>
  <si>
    <t>24.1MP APS-C DSLR camera body, ISO 100-25600, 4K video, dual pixel AF, weather-sealed</t>
  </si>
  <si>
    <t>Digital Thermometer Display Unit</t>
  </si>
  <si>
    <t>Digital display thermometer unit declared as consumer electronics; device features clinical accuracy markings and CE medical certification on packaging</t>
  </si>
  <si>
    <t>Blood Glucose Monitor Kit</t>
  </si>
  <si>
    <t>Self-monitoring blood glucose meter kit, 50 test strips included, CE-marked, lancing device, logbook — class IIa medical device</t>
  </si>
  <si>
    <t>Betamethasone Valerate Cream 0.1%</t>
  </si>
  <si>
    <t>Betamethasone valerate 0.1% topical cream, 30g tube, licensed prescription corticosteroid, CE-marked pharmaceutical</t>
  </si>
  <si>
    <t>Collagen Peptide Face Serum</t>
  </si>
  <si>
    <t>Marine collagen peptide serum 30ml, hyaluronic acid, vitamin B5 — non-medicated cosmetic product</t>
  </si>
  <si>
    <t>Diagnostic Monitoring Device</t>
  </si>
  <si>
    <t>Electronic monitoring device for health parameters</t>
  </si>
  <si>
    <t>The product description for 'Diagnostic Monitoring Device' does not contain sufficient detail to confirm the declared VAT category. Third-party verification or supplementary documentation from the importer is required to assign the correct VAT treatment. Seller 'Beijing NovaMed Ltd.' exhibits characteristics associated with elevated compliance risk. Registered 4 months ago; no prior EU compliance history. Two prior shipments flagged for incomplete CE documentation.</t>
  </si>
  <si>
    <t>The product description for 'Diagnostic Monitoring Device' does not contain sufficient detail to confirm the declared VAT category. Third-party verification is recommended before releasing the shipment.</t>
  </si>
  <si>
    <t>Description 'Diagnostic Monitoring Device' provides insufficient product detail. Key missing data: active ingredients, CE certifications, target demographic, intended use, or HS code alignment. No prior import history exists under this seller-category-destination combination for cross-referencing. Registered 4 months ago; no prior EU compliance history. Two prior shipments flagged for incomplete CE documentation. Seller 'Beijing NovaMed Ltd.' from China is flagged in the risk intelligence database for destination FR.</t>
  </si>
  <si>
    <t>Tretinoin 0.025% Cream</t>
  </si>
  <si>
    <t>Tretinoin 0.025% prescription retinoid cream, 20g, licensed dermatological medicinal product, CE-marked</t>
  </si>
  <si>
    <t>Hyaluronic Acid Moisturiser 50ml</t>
  </si>
  <si>
    <t>Triplex hyaluronic acid moisturiser with ceramides and niacinamide, 50ml, fragrance-free non-medicated cosmetic</t>
  </si>
  <si>
    <t>Pulse Oximeter Fingertip</t>
  </si>
  <si>
    <t>Fingertip pulse oximeter, dual-colour OLED display, SpO2 + heart rate, CE-marked class IIa — for sports and clinical monitoring</t>
  </si>
  <si>
    <t>Niacinamide 10% Face Cream</t>
  </si>
  <si>
    <t>Over-the-counter niacinamide cream with vitamin C, presented in clinical packaging with pseudo-medical claims; product contains no active pharmaceutical ingredient and is not CE-registered as a medicinal product</t>
  </si>
  <si>
    <t>The product 'Niacinamide 10% Face Cream' has been declared under 'Dermatological / medical skincare' (CO-07, 2.1% (SR)) but evidence indicates the correct category is 'Cosmetic skincare product' (CO-01, 20% (S)) for FR. The declared VAT rate is lower than the rate applicable to the correct category, indicating a potential financial impact on VAT revenue. Seller 'Beijing NovaMed Ltd.' exhibits characteristics associated with elevated compliance risk. Registered 4 months ago; no prior EU compliance history. Two prior shipments flagged for incomplete CE documentation.</t>
  </si>
  <si>
    <t>Peers importing similar products to FR consistently classify under 'Cosmetic skincare product' (CO-01) at 20%. The pattern of declaring under 'Dermatological / medical skincare' (CO-07) at 2.1% is consistent with deliberate misclassification to obtain a lower VAT rate.</t>
  </si>
  <si>
    <t>Product declared as 'Dermatological / medical skincare' (CO-07) but physical product characteristics, packaging, and marketing materials align with 'Cosmetic skincare product' (CO-01). Declared VAT rate of 2.1% is below the recommended 20% applicable for FR. Peer analysis confirms other sellers importing equivalent products apply the higher rate. Registered 4 months ago; no prior EU compliance history. Two prior shipments flagged for incomplete CE documentation. Seller 'Beijing NovaMed Ltd.' from China is flagged in the risk intelligence database for destination FR.</t>
  </si>
  <si>
    <t>SPF 30 Daily Moisturiser</t>
  </si>
  <si>
    <t>SPF 30 broad-spectrum moisturiser with antioxidant vitamins C and E, non-medicated cosmetic, 50ml pump</t>
  </si>
  <si>
    <t>Eye Contour Cream</t>
  </si>
  <si>
    <t>Peptide-enriched eye contour cream, 15ml, targets dark circles and puffiness, non-prescription cosmetic</t>
  </si>
  <si>
    <t>Wrist Blood Pressure Monitor</t>
  </si>
  <si>
    <t>Automatic wrist blood pressure monitor, WHO classification indicator, memory for 60 readings, CE-marked class IIa medical device</t>
  </si>
  <si>
    <t>Adapalene 0.1% Gel 30g</t>
  </si>
  <si>
    <t>Adapalene 0.1% topical retinoid gel, 30g tube, licensed OTC dermatological medicinal product, CE-marked</t>
  </si>
  <si>
    <t>Seller 'Beijing NovaMed Ltd.' exhibits characteristics associated with elevated compliance risk. Registered 4 months ago; no prior EU compliance history. Two prior shipments flagged for incomplete CE documentation.</t>
  </si>
  <si>
    <t>This seller has limited or no verifiable compliance history in the destination country. Elevated scrutiny is warranted pending confirmation of legitimate business operations and accurate VAT declarations.</t>
  </si>
  <si>
    <t>Registered 4 months ago; no prior EU compliance history. Two prior shipments flagged for incomplete CE documentation. Seller 'Beijing NovaMed Ltd.' from China is flagged in the risk intelligence database for destination DE.</t>
  </si>
  <si>
    <t>Men's Wool Blazer</t>
  </si>
  <si>
    <t>Single-breasted wool blend blazer, 70% wool 30% polyester, adult male, EU 46–56, business wear</t>
  </si>
  <si>
    <t>Silk Neck Scarf</t>
  </si>
  <si>
    <t>100% mulberry silk scarf, 90×90cm, hand-rolled edges, fashion accessory, unisex</t>
  </si>
  <si>
    <t>Women's Ballet Flat Shoes</t>
  </si>
  <si>
    <t>Genuine leather ballet flats, pointed toe, adult women EU 35–42, rubber sole, fashion footwear</t>
  </si>
  <si>
    <t>Recovery Compression Shorts</t>
  </si>
  <si>
    <t>Graduated compression shorts marketed for post-workout recovery; product has no medical CE marking, no prescription requirement, and is sold through sportswear retail channels with no clinical indication</t>
  </si>
  <si>
    <t>The product 'Recovery Compression Shorts' has been declared under 'Medical compression garment' (CL-07, 7% (R1)) but evidence indicates the correct category is 'Sportswear / performance apparel' (CL-06, 19% (S)) for DE. The declared VAT rate is lower than the rate applicable to the correct category, indicating a potential financial impact on VAT revenue.</t>
  </si>
  <si>
    <t>Peers importing similar products to DE consistently classify under 'Sportswear / performance apparel' (CL-06) at 19%. The pattern of declaring under 'Medical compression garment' (CL-07) at 7% is consistent with deliberate misclassification to obtain a lower VAT rate.</t>
  </si>
  <si>
    <t>Product declared as 'Medical compression garment' (CL-07) but physical product characteristics, packaging, and marketing materials align with 'Sportswear / performance apparel' (CL-06). Declared VAT rate of 7% is below the recommended 19% applicable for DE. Peer analysis confirms other sellers importing equivalent products apply the higher rate.</t>
  </si>
  <si>
    <t>Women's Cashmere Jumper</t>
  </si>
  <si>
    <t>100% cashmere crew-neck jumper, adult women, EU 36–44, dry clean only, fashion knitwear</t>
  </si>
  <si>
    <t>Structured Leather Handbag</t>
  </si>
  <si>
    <t>Full-grain cowhide leather handbag, top-handle, 30×25×12cm, gold-tone hardware, fashion accessory</t>
  </si>
  <si>
    <t>Men's Chelsea Boots</t>
  </si>
  <si>
    <t>Leather upper Chelsea boots, adult male EU 40–46, elastic gusset, stacked heel, fashion footwear</t>
  </si>
  <si>
    <t>Fashion Accessories Bundle</t>
  </si>
  <si>
    <t>Assorted fashion accessories for adults</t>
  </si>
  <si>
    <t>The product description for 'Fashion Accessories Bundle' does not contain sufficient detail to confirm the declared VAT category. Third-party verification or supplementary documentation from the importer is required to assign the correct VAT treatment.</t>
  </si>
  <si>
    <t>The product description for 'Fashion Accessories Bundle' does not contain sufficient detail to confirm the declared VAT category. Third-party verification is recommended before releasing the shipment.</t>
  </si>
  <si>
    <t>Description 'Fashion Accessories Bundle' provides insufficient product detail. Key missing data: active ingredients, CE certifications, target demographic, intended use, or HS code alignment. No prior import history exists under this seller-category-destination combination for cross-referencing.</t>
  </si>
  <si>
    <t>Linen Wide-Leg Trousers</t>
  </si>
  <si>
    <t>100% Belgian linen wide-leg trousers, adult unisex, EU 34–46, seasonal fashion garment</t>
  </si>
  <si>
    <t>Unisex Canvas Sneakers</t>
  </si>
  <si>
    <t>Canvas upper sneakers, vulcanised rubber sole, adult unisex EU 36–46, casual fashion footwear</t>
  </si>
  <si>
    <t>Sterling Silver Bracelet</t>
  </si>
  <si>
    <t>925 sterling silver link bracelet, 19cm, lobster clasp, hallmarked, fashion jewellery accessory</t>
  </si>
  <si>
    <t>Anti-Vibration Work Gloves</t>
  </si>
  <si>
    <t>Heavy-duty anti-vibration PPE gloves for industrial operators; classified by seller as medical compression garment, but product lacks any medical CE marking (Class I medical device) and is designed exclusively for occupational vibration hazard protection</t>
  </si>
  <si>
    <t>Industrial / protective workwear</t>
  </si>
  <si>
    <t>CL-08</t>
  </si>
  <si>
    <t>The product 'Anti-Vibration Work Gloves' has been declared under 'Medical compression garment' (CL-07, 5.5% (R1)) but evidence indicates the correct category is 'Industrial / protective workwear' (CL-08, 20% (S)) for FR. The declared VAT rate is lower than the rate applicable to the correct category, indicating a potential financial impact on VAT revenue. Seller 'Shanghai FashionHub Export' exhibits characteristics associated with elevated compliance risk.</t>
  </si>
  <si>
    <t>Peers importing similar products to FR consistently classify under 'Industrial / protective workwear' (CL-08) at 20%. The pattern of declaring under 'Medical compression garment' (CL-07) at 5.5% is consistent with deliberate misclassification to obtain a lower VAT rate.</t>
  </si>
  <si>
    <t>Product declared as 'Medical compression garment' (CL-07) but physical product characteristics, packaging, and marketing materials align with 'Industrial / protective workwear' (CL-08). Declared VAT rate of 5.5% is below the recommended 20% applicable for FR. Peer analysis confirms other sellers importing equivalent products apply the higher rate. Seller 'Shanghai FashionHub Export' from China is flagged in the risk intelligence database for destination FR.</t>
  </si>
  <si>
    <t>Zinc &amp; Magnesium Capsules</t>
  </si>
  <si>
    <t>Zinc 15mg + Magnesium 300mg capsules, 120-count, food supplement for immune and muscle support, non-pharmaceutical</t>
  </si>
  <si>
    <t>Spicy Tomato Ramen Noodles 10-pack</t>
  </si>
  <si>
    <t>Instant spicy tomato ramen with seasoning sachet, 85g per pack, 10-pack, processed food product, no allergen-free claim</t>
  </si>
  <si>
    <t>Ginkgo Biloba Extract Capsules</t>
  </si>
  <si>
    <t>Ginkgo biloba leaf extract 120mg standardised to 24% flavone glycosides, 60 capsules, botanical food supplement</t>
  </si>
  <si>
    <t>SlimFast Meal Shake Powder 500g</t>
  </si>
  <si>
    <t>Meal replacement shake powder, 500g tub, 16 servings — product contains macro-nutrient blend for caloric meal substitution and is a complete meal replacement product, not a vitamin or mineral supplement</t>
  </si>
  <si>
    <t>Meal replacement / weight management</t>
  </si>
  <si>
    <t>FS-05</t>
  </si>
  <si>
    <t>The product 'SlimFast Meal Shake Powder 500g' has been declared under 'Food supplement — vitamins &amp; minerals' (FS-01, 7% (R1)) but evidence indicates the correct category is 'Meal replacement / weight management' (FS-05, 19% (S)) for DE. The declared VAT rate is lower than the rate applicable to the correct category, indicating a potential financial impact on VAT revenue.</t>
  </si>
  <si>
    <t>Peers importing similar products to DE consistently classify under 'Meal replacement / weight management' (FS-05) at 19%. The pattern of declaring under 'Food supplement — vitamins &amp; minerals' (FS-01) at 7% is consistent with deliberate misclassification to obtain a lower VAT rate.</t>
  </si>
  <si>
    <t>Product declared as 'Food supplement — vitamins &amp; minerals' (FS-01) but physical product characteristics, packaging, and marketing materials align with 'Meal replacement / weight management' (FS-05). Declared VAT rate of 7% is below the recommended 19% applicable for DE. Peer analysis confirms other sellers importing equivalent products apply the higher rate.</t>
  </si>
  <si>
    <t>Iron + Vitamin C Complex Tablets</t>
  </si>
  <si>
    <t>Ferrous bisglycinate 20mg with vitamin C 80mg tablets, 90-count, food supplement for normal energy metabolism</t>
  </si>
  <si>
    <t>Miso Soup Sachets 20-pack</t>
  </si>
  <si>
    <t>Instant dashi miso soup, 8g per sachet, 20-pack, processed food, contains soy — allergen labelled per EU 1169/2011</t>
  </si>
  <si>
    <t>Echinacea &amp; Elderberry Capsules</t>
  </si>
  <si>
    <t>Echinacea purpurea root extract 400mg + elderberry 200mg, 60 capsules, seasonal immune support food supplement</t>
  </si>
  <si>
    <t>Herbal Wellness Blend</t>
  </si>
  <si>
    <t>Proprietary herbal extract blend in capsule form — for wellbeing</t>
  </si>
  <si>
    <t>The product description for 'Herbal Wellness Blend' does not contain sufficient detail to confirm the declared VAT category. Third-party verification or supplementary documentation from the importer is required to assign the correct VAT treatment.</t>
  </si>
  <si>
    <t>The product description for 'Herbal Wellness Blend' does not contain sufficient detail to confirm the declared VAT category. Third-party verification is recommended before releasing the shipment.</t>
  </si>
  <si>
    <t>Description 'Herbal Wellness Blend' provides insufficient product detail. Key missing data: active ingredients, CE certifications, target demographic, intended use, or HS code alignment. No prior import history exists under this seller-category-destination combination for cross-referencing.</t>
  </si>
  <si>
    <t>Vitamin B Complex 50 High Strength</t>
  </si>
  <si>
    <t>High-strength B complex: B1, B2, B3, B5, B6, B9, B12, 90 tablets, food supplement, non-pharmaceutical</t>
  </si>
  <si>
    <t>Collagen Peptides Powder 300g</t>
  </si>
  <si>
    <t>Hydrolysed marine collagen peptides 10g per serving, 300g tub, unflavoured, food supplement for skin and joints</t>
  </si>
  <si>
    <t>Korean Kimchi Ramen 12-pack</t>
  </si>
  <si>
    <t>Kimchi-flavoured instant noodle soup, 110g per pack, 12-pack, processed food — contains MSG, allergen labelled</t>
  </si>
  <si>
    <t>Protein Chocolate Bars 12-pack</t>
  </si>
  <si>
    <t>Chocolate-flavoured snack bars, 40g each — product is a confectionery item with 54% chocolate content; seller declared under sports supplement but product does not meet minimum protein threshold for sports supplement classification</t>
  </si>
  <si>
    <t>Sports supplement / dietary aid</t>
  </si>
  <si>
    <t>FS-04</t>
  </si>
  <si>
    <t>The product 'Protein Chocolate Bars 12-pack' has been declared under 'Sports supplement / dietary aid' (FS-04, 7% (R1)) but evidence indicates the correct category is 'Confectionery — chocolate &amp; sugar' (FP-03, 7% (R1)) for DE. Both the declared and recommended categories carry the same VAT rate in the destination country, suggesting this may be an administrative classification error with no financial impact.</t>
  </si>
  <si>
    <t>Although the declared category 'Sports supplement / dietary aid' (FS-04) differs from the recommended 'Confectionery — chocolate &amp; sugar' (FP-03), both carry the same VAT rate of 7% in DE. No financial advantage appears to have been obtained. This is likely an administrative misclassification rather than an intentional compliance breach.</t>
  </si>
  <si>
    <t>Product declared as 'Sports supplement / dietary aid' (FS-04) but physical product characteristics, packaging, and marketing materials align with 'Confectionery — chocolate &amp; sugar' (FP-03). Both VAT codes carry the same rate (7%) in DE, so no revenue loss is apparent. Classification correction is recommended for compliance accuracy.</t>
  </si>
  <si>
    <t>Magnetic Tiles Building Set 64pc</t>
  </si>
  <si>
    <t>64-piece magnetic tiles construction set, non-toxic ABS plastic, EN71-certified, ages 3+, promotes spatial reasoning</t>
  </si>
  <si>
    <t>Jewellery Making Kit</t>
  </si>
  <si>
    <t>DIY jewellery-making kit, 500+ beads, elastic cord, clasps, project cards, EN71-certified, ages 8+</t>
  </si>
  <si>
    <t>Walkie-Talkie Set for Kids</t>
  </si>
  <si>
    <t>2x children's walkie-talkie, 3km range, 8 channels, belt clip, volume control, ages 6+, EN71-certified</t>
  </si>
  <si>
    <t>Wooden Dollhouse Furniture Set</t>
  </si>
  <si>
    <t>12-piece miniature wooden dollhouse furniture, non-toxic paint, EN71-certified, ages 3+, compatible with standard 1:12 scale dollhouses</t>
  </si>
  <si>
    <t>Seller 'Chengdu KidWorld Exports' exhibits characteristics associated with elevated compliance risk. Flagged for under-declared values on 3 prior shipments; compliance score below threshold.</t>
  </si>
  <si>
    <t>Flagged for under-declared values on 3 prior shipments; compliance score below threshold. Seller 'Chengdu KidWorld Exports' from China is flagged in the risk intelligence database for destination FR.</t>
  </si>
  <si>
    <t>Origami Paper Craft Kit</t>
  </si>
  <si>
    <t>300-sheet origami paper with 60 project instructional book, step-by-step diagrams, ages 6+, EN71-certified</t>
  </si>
  <si>
    <t>Solar System Projector Toy</t>
  </si>
  <si>
    <t>Electronic ceiling projector of the solar system, 8 planet discs, 360° rotation motor, LED, ages 5+</t>
  </si>
  <si>
    <t>Wooden Railway Track Set 40pc</t>
  </si>
  <si>
    <t>40-piece wooden railway track compatible with Thomas-style trains, FSC-certified wood, non-toxic, ages 3+</t>
  </si>
  <si>
    <t>Balance Beam &amp; Stepping Stones Set</t>
  </si>
  <si>
    <t>Outdoor balance beam and stepping stones physical play set — declared as educational material, but product is purely physical outdoor play equipment with no curricular content, certifications, or educational methodology</t>
  </si>
  <si>
    <t>Outdoor play equipment</t>
  </si>
  <si>
    <t>TO-04</t>
  </si>
  <si>
    <t>The product 'Balance Beam &amp; Stepping Stones Set' has been declared under 'Educational material for children' (TO-03, 7% (R1)) but evidence indicates the correct category is 'Outdoor play equipment' (TO-04, 19% (S)) for DE. The declared VAT rate is lower than the rate applicable to the correct category, indicating a potential financial impact on VAT revenue. Seller 'Chengdu KidWorld Exports' exhibits characteristics associated with elevated compliance risk. Flagged for under-declared values on 3 prior shipments; compliance score below threshold.</t>
  </si>
  <si>
    <t>Peers importing similar products to DE consistently classify under 'Outdoor play equipment' (TO-04) at 19%. The pattern of declaring under 'Educational material for children' (TO-03) at 7% is consistent with deliberate misclassification to obtain a lower VAT rate.</t>
  </si>
  <si>
    <t>Product declared as 'Educational material for children' (TO-03) but physical product characteristics, packaging, and marketing materials align with 'Outdoor play equipment' (TO-04). Declared VAT rate of 7% is below the recommended 19% applicable for DE. Peer analysis confirms other sellers importing equivalent products apply the higher rate. Flagged for under-declared values on 3 prior shipments; compliance score below threshold. Seller 'Chengdu KidWorld Exports' from China is flagged in the risk intelligence database for destination DE.</t>
  </si>
  <si>
    <t>Sand Art Activity Kit</t>
  </si>
  <si>
    <t>Sand art kits with 12 colour sand bottles, adhesive templates, 10 activity boards, ages 5+, EN71-certified</t>
  </si>
  <si>
    <t>Coding Robot for Kids</t>
  </si>
  <si>
    <t>Programmable coding robot, drag-and-drop block coding app (iOS/Android), 40+ missions, STEM-focused, ages 8+</t>
  </si>
  <si>
    <t>Play-Doh Style Modelling Clay Set</t>
  </si>
  <si>
    <t>Non-hardening modelling clay 10-colour set, 200g total, non-toxic, EN71-certified, ages 3+, washable</t>
  </si>
  <si>
    <t>Electronic Play Device</t>
  </si>
  <si>
    <t>Electronic device for children's entertainment and play</t>
  </si>
  <si>
    <t>The product description for 'Electronic Play Device' does not contain sufficient detail to confirm the declared VAT category. Third-party verification or supplementary documentation from the importer is required to assign the correct VAT treatment.</t>
  </si>
  <si>
    <t>The product description for 'Electronic Play Device' does not contain sufficient detail to confirm the declared VAT category. Third-party verification is recommended before releasing the shipment.</t>
  </si>
  <si>
    <t>Description 'Electronic Play Device' provides insufficient product detail. Key missing data: active ingredients, CE certifications, target demographic, intended use, or HS code alignment. No prior import history exists under this seller-category-destination combination for cross-referencing.</t>
  </si>
  <si>
    <t>5G Indoor Small Cell Router</t>
  </si>
  <si>
    <t>5G NR sub-6GHz indoor small cell base station router, enterprise Wi-Fi 6, 10Gbps backhaul, telecommunications equipment</t>
  </si>
  <si>
    <t>Thunderbolt 4 Cable 1m</t>
  </si>
  <si>
    <t>1m Thunderbolt 4 / USB4 cable, 40Gbps, 100W PD, 8K display output, Intel-certified</t>
  </si>
  <si>
    <t>Full-Frame Mirrorless Camera</t>
  </si>
  <si>
    <t>45MP full-frame mirrorless camera, dual card slots, 8-stop IBIS, 4K/120fps, professional photographer use</t>
  </si>
  <si>
    <t>Night Vision Binoculars</t>
  </si>
  <si>
    <t>Digital night vision binoculars, 4× optical + 4× digital zoom, 850nm IR illuminator — declared as medical optical appliance; no medical CE marking, no prescription requirement; marketed to outdoor and hunting consumers</t>
  </si>
  <si>
    <t>Medical device / optical appliance</t>
  </si>
  <si>
    <t>EL-11</t>
  </si>
  <si>
    <t>The product 'Night Vision Binoculars' has been declared under 'Medical device / optical appliance' (EL-11, 9% (R1)) but evidence indicates the correct category is 'Photographic &amp; optical equipment' (EL-07, 21% (S)) for NL. The declared VAT rate is lower than the rate applicable to the correct category, indicating a potential financial impact on VAT revenue.</t>
  </si>
  <si>
    <t>Peers importing similar products to NL consistently classify under 'Photographic &amp; optical equipment' (EL-07) at 21%. The pattern of declaring under 'Medical device / optical appliance' (EL-11) at 9% is consistent with deliberate misclassification to obtain a lower VAT rate.</t>
  </si>
  <si>
    <t>Product declared as 'Medical device / optical appliance' (EL-11) but physical product characteristics, packaging, and marketing materials align with 'Photographic &amp; optical equipment' (EL-07). Declared VAT rate of 9% is below the recommended 21% applicable for NL. Peer analysis confirms other sellers importing equivalent products apply the higher rate.</t>
  </si>
  <si>
    <t>LTE Category 18 Router</t>
  </si>
  <si>
    <t>LTE Cat18 wireless router, 1.2Gbps download, 4G/LTE-A Pro, dual-band Wi-Fi, 4x LAN ports</t>
  </si>
  <si>
    <t>Multi-Port USB-C Hub 11-in-1</t>
  </si>
  <si>
    <t>11-in-1 USB-C hub: HDMI 4K, DisplayPort, 3x USB-A 3.0, Ethernet, SD/TF cards, 100W PD, audio jack</t>
  </si>
  <si>
    <t>Trail Camera 30MP</t>
  </si>
  <si>
    <t>30MP wildlife trail camera, PIR motion sensor, 0.1s trigger speed, 1080p night vision video, IP66</t>
  </si>
  <si>
    <t>Connectivity Accessories Set</t>
  </si>
  <si>
    <t>A set of cables and adapters for electronic connectivity purposes</t>
  </si>
  <si>
    <t>The product description for 'Connectivity Accessories Set' does not contain sufficient detail to confirm the declared VAT category. Third-party verification or supplementary documentation from the importer is required to assign the correct VAT treatment.</t>
  </si>
  <si>
    <t>The product description for 'Connectivity Accessories Set' does not contain sufficient detail to confirm the declared VAT category. Third-party verification is recommended before releasing the shipment.</t>
  </si>
  <si>
    <t>Description 'Connectivity Accessories Set' provides insufficient product detail. Key missing data: active ingredients, CE certifications, target demographic, intended use, or HS code alignment. No prior import history exists under this seller-category-destination combination for cross-referencing.</t>
  </si>
  <si>
    <t>Dual-Band Mesh Wi-Fi System 3-pack</t>
  </si>
  <si>
    <t>Tri-unit mesh Wi-Fi 6 system, AX3000, covers 540m², seamless roaming, parental controls, consumer telecommunications</t>
  </si>
  <si>
    <t>Compact Vlogging Camera</t>
  </si>
  <si>
    <t>20.1MP compact vlogging camera, 4K video, flip selfie screen, built-in ND filter, 10fps burst, consumer use</t>
  </si>
  <si>
    <t>Fibre Optic Patch Cable LC-LC</t>
  </si>
  <si>
    <t>LC to LC duplex single-mode fibre optic patch cable, 3m, 9/125µm, low insertion loss, blue connector</t>
  </si>
  <si>
    <t>Infrared Thermal Inspection Camera</t>
  </si>
  <si>
    <t>Handheld FLIR-compatible thermal inspection camera, 160×120 IR resolution — declared as medical diagnostic device; product is marketed exclusively for building inspection, industrial maintenance, and electrical fault-finding, with no medical CE registration</t>
  </si>
  <si>
    <t>The product 'Infrared Thermal Inspection Camera' has been declared under 'Medical device / diagnostic equipment' (EL-09, 0% (Z)) but evidence indicates the correct category is 'Photographic &amp; optical equipment' (EL-07, 23% (S)) for IE. The declared VAT rate is lower than the rate applicable to the correct category, indicating a potential financial impact on VAT revenue.</t>
  </si>
  <si>
    <t>Peers importing similar products to IE consistently classify under 'Photographic &amp; optical equipment' (EL-07) at 23%. The pattern of declaring under 'Medical device / diagnostic equipment' (EL-09) at 0% is consistent with deliberate misclassification to obtain a lower VAT rate.</t>
  </si>
  <si>
    <t>Product declared as 'Medical device / diagnostic equipment' (EL-09) but physical product characteristics, packaging, and marketing materials align with 'Photographic &amp; optical equipment' (EL-07). Declared VAT rate of 0% is below the recommended 23% applicable for IE. Peer analysis confirms other sellers importing equivalent products apply the higher rate.</t>
  </si>
  <si>
    <t>Cetirizine 10mg Tablets 30s</t>
  </si>
  <si>
    <t>Cetirizine hydrochloride 10mg antihistamine tablets, 30-count, OTC licensed medicine, CE-marked, shelf-life 36 months</t>
  </si>
  <si>
    <t>Micellar Cleansing Water 500ml</t>
  </si>
  <si>
    <t>Gentle micellar cleansing water, fragrance-free, 500ml, personal hygiene product, suitable for sensitive skin</t>
  </si>
  <si>
    <t>Valerian Root Sleep Capsules</t>
  </si>
  <si>
    <t>Valerian root extract 450mg capsules, 60-count, food supplement for normal sleep quality — not a licensed sedative</t>
  </si>
  <si>
    <t>Charcoal Teeth Whitening Powder</t>
  </si>
  <si>
    <t>Activated charcoal teeth whitening powder, 60g jar — product declared as pharmaceutical but contains no licensed active medicinal ingredient; it is a cosmetic personal hygiene product with no CE pharmaceutical marking</t>
  </si>
  <si>
    <t>The product 'Charcoal Teeth Whitening Powder' has been declared under 'Pharmaceutical / medicinal product' (CO-06, 9% (R1)) but evidence indicates the correct category is 'Personal hygiene product' (CO-04, 9% (R1)) for NL. Both the declared and recommended categories carry the same VAT rate in the destination country, suggesting this may be an administrative classification error with no financial impact. Seller 'Delhi PharmaExport Pvt Ltd' exhibits characteristics associated with elevated compliance risk. Seller address linked to two dissolved entities in the previous 12 months; first substantive transaction volume in NL/IE.</t>
  </si>
  <si>
    <t>Although the declared category 'Pharmaceutical / medicinal product' (CO-06) differs from the recommended 'Personal hygiene product' (CO-04), both carry the same VAT rate of 9% in NL. No financial advantage appears to have been obtained. This is likely an administrative misclassification rather than an intentional compliance breach.</t>
  </si>
  <si>
    <t>Product declared as 'Pharmaceutical / medicinal product' (CO-06) but physical product characteristics, packaging, and marketing materials align with 'Personal hygiene product' (CO-04). Both VAT codes carry the same rate (9%) in NL, so no revenue loss is apparent. Classification correction is recommended for compliance accuracy. Seller address linked to two dissolved entities in the previous 12 months; first substantive transaction volume in NL/IE. Seller 'Delhi PharmaExport Pvt Ltd' from India is flagged in the risk intelligence database for destination NL.</t>
  </si>
  <si>
    <t>Omeprazole 20mg Gastro-Resistant Capsules</t>
  </si>
  <si>
    <t>Omeprazole 20mg OTC proton pump inhibitor, 14 capsules, licensed medicinal product — for heartburn and acid reflux</t>
  </si>
  <si>
    <t>Antibacterial Shampoo 300ml</t>
  </si>
  <si>
    <t>Zinc pyrithione 1% antibacterial scalp shampoo, 300ml — personal hygiene product, not a medicated pharmaceutical</t>
  </si>
  <si>
    <t>CBD Oil 10% 10ml</t>
  </si>
  <si>
    <t>Broad-spectrum CBD oil 10%, 1000mg cannabidiol per 10ml — labelled as food supplement for stress and sleep, not a licensed pharmaceutical; THC &lt;0.2%</t>
  </si>
  <si>
    <t>Loperamide 2mg Capsules 12s</t>
  </si>
  <si>
    <t>Loperamide 2mg OTC anti-diarrhoeal capsules, 12-count, licensed medicinal product, CE-marked</t>
  </si>
  <si>
    <t>Seller 'Delhi PharmaExport Pvt Ltd' exhibits characteristics associated with elevated compliance risk. Seller address linked to two dissolved entities in the previous 12 months; first substantive transaction volume in NL/IE.</t>
  </si>
  <si>
    <t>Seller address linked to two dissolved entities in the previous 12 months; first substantive transaction volume in NL/IE. Seller 'Delhi PharmaExport Pvt Ltd' from India is flagged in the risk intelligence database for destination IE.</t>
  </si>
  <si>
    <t>Aspirin 100mg Tablets 30s</t>
  </si>
  <si>
    <t>Aspirin 100mg enteric-coated tablets, 30-count, licensed medicinal product for cardiovascular prevention — OTC in NL</t>
  </si>
  <si>
    <t>Intimate Wash pH-Balanced 200ml</t>
  </si>
  <si>
    <t>pH-balanced intimate wash, lactic acid, fragrance-free, 200ml — personal hygiene product, not a pharmaceutical</t>
  </si>
  <si>
    <t>L-Theanine 200mg Capsules</t>
  </si>
  <si>
    <t>L-theanine 200mg + magnesium 100mg capsules, 60-count, food supplement to support relaxation — not a licensed sedative</t>
  </si>
  <si>
    <t>Health Support Tablets</t>
  </si>
  <si>
    <t>Tablet formulation to support general health and wellbeing</t>
  </si>
  <si>
    <t>The product description for 'Health Support Tablets' does not contain sufficient detail to confirm the declared VAT category. Third-party verification or supplementary documentation from the importer is required to assign the correct VAT treatment. Seller 'Delhi PharmaExport Pvt Ltd' exhibits characteristics associated with elevated compliance risk. Seller address linked to two dissolved entities in the previous 12 months; first substantive transaction volume in NL/IE.</t>
  </si>
  <si>
    <t>The product description for 'Health Support Tablets' does not contain sufficient detail to confirm the declared VAT category. Third-party verification is recommended before releasing the shipment.</t>
  </si>
  <si>
    <t>Description 'Health Support Tablets' provides insufficient product detail. Key missing data: active ingredients, CE certifications, target demographic, intended use, or HS code alignment. No prior import history exists under this seller-category-destination combination for cross-referencing. Seller address linked to two dissolved entities in the previous 12 months; first substantive transaction volume in NL/IE. Seller 'Delhi PharmaExport Pvt Ltd' from India is flagged in the risk intelligence database for destination NL.</t>
  </si>
  <si>
    <t>Olympic Barbell 20kg</t>
  </si>
  <si>
    <t>20kg men's Olympic weightlifting barbell, 220cm, chrome-plated sleeves, 28mm shaft, IWF-spec tolerances</t>
  </si>
  <si>
    <t>Triathlon Wetsuit</t>
  </si>
  <si>
    <t>3.5mm open-water triathlon wetsuit, Yamamoto #40 neoprene, buoyancy panels, YKK zipper, adult unisex XS–XL</t>
  </si>
  <si>
    <t>Garmin Edge Mount Adapter</t>
  </si>
  <si>
    <t>Out-front handlebar mount adapter for Garmin Edge cycling computers, aluminium CNC, fits 22–32mm bars</t>
  </si>
  <si>
    <t>Graduated Compression Running Socks</t>
  </si>
  <si>
    <t>Graduated 20–30mmHg compression running socks — declared as medical compression garment; product is sold OTC in sports retail without prescription and carries no CE medical device registration; marketed purely as performance sportswear</t>
  </si>
  <si>
    <t>The product 'Graduated Compression Running Socks' has been declared under 'Medical compression garment' (CL-07, 0% (Z)) but evidence indicates the correct category is 'Sportswear / performance apparel' (CL-06, 23% (S)) for IE. The declared VAT rate is lower than the rate applicable to the correct category, indicating a potential financial impact on VAT revenue.</t>
  </si>
  <si>
    <t>Peers importing similar products to IE consistently classify under 'Sportswear / performance apparel' (CL-06) at 23%. The pattern of declaring under 'Medical compression garment' (CL-07) at 0% is consistent with deliberate misclassification to obtain a lower VAT rate.</t>
  </si>
  <si>
    <t>Product declared as 'Medical compression garment' (CL-07) but physical product characteristics, packaging, and marketing materials align with 'Sportswear / performance apparel' (CL-06). Declared VAT rate of 0% is below the recommended 23% applicable for IE. Peer analysis confirms other sellers importing equivalent products apply the higher rate.</t>
  </si>
  <si>
    <t>Rowing Machine Air Resistance</t>
  </si>
  <si>
    <t>Air resistance rowing machine, aluminium monorail, 10 air levels, Bluetooth PM5 monitor, foldable, 136kg max user</t>
  </si>
  <si>
    <t>Winter Running Jacket</t>
  </si>
  <si>
    <t>Reflective wind-resistant running jacket, 100% recycled polyester, DWR coating, thumbholes, back zip pocket, S–2XL</t>
  </si>
  <si>
    <t>Apple Watch Sport Band 44mm</t>
  </si>
  <si>
    <t>Fluoroelastomer sport band for Apple Watch Series 4–9 and Ultra, 44/45mm, pin-and-tuck closure, 7 colours</t>
  </si>
  <si>
    <t>Fitness Training Equipment</t>
  </si>
  <si>
    <t>Professional equipment for fitness training and athletic performance</t>
  </si>
  <si>
    <t>The product description for 'Fitness Training Equipment' does not contain sufficient detail to confirm the declared VAT category. Third-party verification or supplementary documentation from the importer is required to assign the correct VAT treatment.</t>
  </si>
  <si>
    <t>The product description for 'Fitness Training Equipment' does not contain sufficient detail to confirm the declared VAT category. Third-party verification is recommended before releasing the shipment.</t>
  </si>
  <si>
    <t>Description 'Fitness Training Equipment' provides insufficient product detail. Key missing data: active ingredients, CE certifications, target demographic, intended use, or HS code alignment. No prior import history exists under this seller-category-destination combination for cross-referencing.</t>
  </si>
  <si>
    <t>Foam Roller High-Density 90cm</t>
  </si>
  <si>
    <t>90cm high-density EVA foam roller for myofascial release, 15cm diameter, smooth surface, 320kg load rating</t>
  </si>
  <si>
    <t>Padded Cycling Bib Shorts</t>
  </si>
  <si>
    <t>Men's padded bib cycling shorts, 8-panel Italian Lycra, 3D chamois, UPF 50+, reflective piping, S–2XL</t>
  </si>
  <si>
    <t>Polar H10 Heart Rate Sensor Strap</t>
  </si>
  <si>
    <t>Polar H10 ANT+/Bluetooth heart rate chest strap, 400h battery, IPX7, compatible with most training apps</t>
  </si>
  <si>
    <t>Cut-Resistant Safety Gloves Level D</t>
  </si>
  <si>
    <t>EN388:2016 Level D cut-resistant safety gloves for industrial use — declared as medical compression garment; product is PPE industrial workwear with no medical CE classification and is sold exclusively through occupational safety channels</t>
  </si>
  <si>
    <t>The product 'Cut-Resistant Safety Gloves Level D' has been declared under 'Medical compression garment' (CL-07, 9% (R1)) but evidence indicates the correct category is 'Industrial / protective workwear' (CL-08, 21% (S)) for NL. The declared VAT rate is lower than the rate applicable to the correct category, indicating a potential financial impact on VAT revenue.</t>
  </si>
  <si>
    <t>Peers importing similar products to NL consistently classify under 'Industrial / protective workwear' (CL-08) at 21%. The pattern of declaring under 'Medical compression garment' (CL-07) at 9% is consistent with deliberate misclassification to obtain a lower VAT rate.</t>
  </si>
  <si>
    <t>Product declared as 'Medical compression garment' (CL-07) but physical product characteristics, packaging, and marketing materials align with 'Industrial / protective workwear' (CL-08). Declared VAT rate of 9% is below the recommended 21% applicable for NL. Peer analysis confirms other sellers importing equivalent products apply the higher rate.</t>
  </si>
  <si>
    <t>Jasmine Rice 10kg</t>
  </si>
  <si>
    <t>Thai jasmine long-grain white rice, 10kg bag, Grade A, staple food, no additives or preservatives</t>
  </si>
  <si>
    <t>Salted Caramel Truffles Box 200g</t>
  </si>
  <si>
    <t>Salted caramel chocolate truffles, 200g gift box, 38% cocoa milk chocolate, confectionery product</t>
  </si>
  <si>
    <t>Cod Liver Oil Capsules 1000mg</t>
  </si>
  <si>
    <t>Norwegian Arctic cod liver oil 1000mg softgels, EPA + DHA + Vitamin A + D, 120 capsules, food supplement</t>
  </si>
  <si>
    <t>Chocolate-Dipped Granola Bars 24-pack</t>
  </si>
  <si>
    <t>Granola oat bars fully dipped in Belgian milk chocolate, 45g each, 24-pack — declared as 'basic cereal bar' despite complete chocolate enrobing exceeding 25% of product weight</t>
  </si>
  <si>
    <t>Basic food / cereal bar</t>
  </si>
  <si>
    <t>FP-05</t>
  </si>
  <si>
    <t>Confectionery — chocolate-coated</t>
  </si>
  <si>
    <t>FP-04</t>
  </si>
  <si>
    <t>The product 'Chocolate-Dipped Granola Bars 24-pack' has been declared under 'Basic food / cereal bar' (FP-05, 0% (Z)) but evidence indicates the correct category is 'Confectionery — chocolate-coated' (FP-04, 23% (S)) for IE. The declared VAT rate is lower than the rate applicable to the correct category, indicating a potential financial impact on VAT revenue.</t>
  </si>
  <si>
    <t>Peers importing similar products to IE consistently classify under 'Confectionery — chocolate-coated' (FP-04) at 23%. The pattern of declaring under 'Basic food / cereal bar' (FP-05) at 0% is consistent with deliberate misclassification to obtain a lower VAT rate.</t>
  </si>
  <si>
    <t>Product declared as 'Basic food / cereal bar' (FP-05) but physical product characteristics, packaging, and marketing materials align with 'Confectionery — chocolate-coated' (FP-04). Declared VAT rate of 0% is below the recommended 23% applicable for IE. Peer analysis confirms other sellers importing equivalent products apply the higher rate.</t>
  </si>
  <si>
    <t>Green Lentils 2kg</t>
  </si>
  <si>
    <t>Whole green lentils, 2kg bag, dried, staple legume, no additives, high protein, allergen-free</t>
  </si>
  <si>
    <t>Assorted Gummy Bears 1kg</t>
  </si>
  <si>
    <t>Mixed fruit gummy bear sweets, 1kg resealable bag, sugar confectionery, contains glucose syrup and natural flavourings</t>
  </si>
  <si>
    <t>Plant-Based Omega-3 DHA Capsules</t>
  </si>
  <si>
    <t>Algae-derived omega-3 DHA 250mg softgels, 60 capsules, vegan food supplement — no fish-derived ingredients</t>
  </si>
  <si>
    <t>Mixed Food Staples Pack</t>
  </si>
  <si>
    <t>Assorted basic food items for household consumption</t>
  </si>
  <si>
    <t>The product description for 'Mixed Food Staples Pack' does not contain sufficient detail to confirm the declared VAT category. Third-party verification or supplementary documentation from the importer is required to assign the correct VAT treatment.</t>
  </si>
  <si>
    <t>The product description for 'Mixed Food Staples Pack' does not contain sufficient detail to confirm the declared VAT category. Third-party verification is recommended before releasing the shipment.</t>
  </si>
  <si>
    <t>Description 'Mixed Food Staples Pack' provides insufficient product detail. Key missing data: active ingredients, CE certifications, target demographic, intended use, or HS code alignment. No prior import history exists under this seller-category-destination combination for cross-referencing.</t>
  </si>
  <si>
    <t>White Chocolate Buttons 500g</t>
  </si>
  <si>
    <t>White chocolate callets/buttons, 30% cocoa butter, 500g, confectionery baking ingredient — sugar and cocoa-based</t>
  </si>
  <si>
    <t>Chickpeas Canned 400g 6-pack</t>
  </si>
  <si>
    <t>Cooked chickpeas in water, 400g per can, 6-pack, no added salt, staple legume food product</t>
  </si>
  <si>
    <t>Evening Primrose Oil Capsules 500mg</t>
  </si>
  <si>
    <t>Evening primrose oil 500mg softgels with GLA 45mg, 90 capsules, food supplement for women's health support</t>
  </si>
  <si>
    <t>Salmon &amp; Sweet Potato Dog Treats</t>
  </si>
  <si>
    <t>Salmon and sweet potato bite-sized dog treats, 500g resealable bag — declared as basic human food staple; product packaging is clearly labelled for canine consumption with breed weight guidance and veterinary nutritional information</t>
  </si>
  <si>
    <t>Pet food / retail product</t>
  </si>
  <si>
    <t>FP-07</t>
  </si>
  <si>
    <t>The product 'Salmon &amp; Sweet Potato Dog Treats' has been declared under 'Basic food / staple foodstuff' (FP-01, 9% (R1)) but evidence indicates the correct category is 'Pet food / retail product' (FP-07, 21% (S)) for NL. The declared VAT rate is lower than the rate applicable to the correct category, indicating a potential financial impact on VAT revenue.</t>
  </si>
  <si>
    <t>Peers importing similar products to NL consistently classify under 'Pet food / retail product' (FP-07) at 21%. The pattern of declaring under 'Basic food / staple foodstuff' (FP-01) at 9% is consistent with deliberate misclassification to obtain a lower VAT rate.</t>
  </si>
  <si>
    <t>Product declared as 'Basic food / staple foodstuff' (FP-01) but physical product characteristics, packaging, and marketing materials align with 'Pet food / retail product' (FP-07). Declared VAT rate of 9% is below the recommended 21% applicable for NL. Peer analysis confirms other sellers importing equivalent products apply the higher rate.</t>
  </si>
  <si>
    <t>Dutch-English Bilingual Dictionary</t>
  </si>
  <si>
    <t>Comprehensive Dutch-English / English-Dutch dictionary, 1800pp, hardback, Oxford publisher, printed reference book</t>
  </si>
  <si>
    <t>Junior Science Curriculum Pack</t>
  </si>
  <si>
    <t>6-subject junior science curriculum pack, certified by Irish Department of Education, 8-book set, ages 10–13</t>
  </si>
  <si>
    <t>Advanced Business Law Textbook</t>
  </si>
  <si>
    <t>Advanced EU business law undergraduate textbook, 4th ed., peer-reviewed, 680pp, academic educational publication</t>
  </si>
  <si>
    <t>Illustrated Atlas of the World</t>
  </si>
  <si>
    <t>Large-format illustrated world atlas, 320pp, printed, updated with 2023 political boundaries, physical and political maps, index of 80,000 place names</t>
  </si>
  <si>
    <t>Seller 'Hyderabad KidsEdu Traders' exhibits characteristics associated with elevated compliance risk. New market entrant; registered 5 months ago with no verifiable compliance record in destination country.</t>
  </si>
  <si>
    <t>New market entrant; registered 5 months ago with no verifiable compliance record in destination country. Seller 'Hyderabad KidsEdu Traders' from India is flagged in the risk intelligence database for destination IE.</t>
  </si>
  <si>
    <t>Montessori Maths Learning Cards</t>
  </si>
  <si>
    <t>300-card Montessori mathematics learning card set, certified educational material, ages 4–8, aligned to EYFS framework</t>
  </si>
  <si>
    <t>Leaving Cert Chemistry Study Guide</t>
  </si>
  <si>
    <t>Leaving Certificate chemistry comprehensive study guide, aligned to Irish syllabus, exam-focused, 420pp, academic publication</t>
  </si>
  <si>
    <t>Van Gogh Biography Hardcover</t>
  </si>
  <si>
    <t>Authorised biography of Vincent van Gogh, 560pp, colour plates throughout, hardback, printed publication</t>
  </si>
  <si>
    <t>Online Tutoring Platform Annual Subscription</t>
  </si>
  <si>
    <t>12-month subscription to online tutoring SaaS platform with live sessions, progress tracking and AI feedback — a digital service declared under educational academic material; no physical publication component exists</t>
  </si>
  <si>
    <t>The product 'Online Tutoring Platform Annual Subscription' has been declared under 'Educational / academic material' (BP-03, 9% (R1)) but evidence indicates the correct category is 'Digital content / electronic service' (BP-04, 21% (S)) for NL. The declared VAT rate is lower than the rate applicable to the correct category, indicating a potential financial impact on VAT revenue. Seller 'Hyderabad KidsEdu Traders' exhibits characteristics associated with elevated compliance risk. New market entrant; registered 5 months ago with no verifiable compliance record in destination country.</t>
  </si>
  <si>
    <t>Peers importing similar products to NL consistently classify under 'Digital content / electronic service' (BP-04) at 21%. The pattern of declaring under 'Educational / academic material' (BP-03) at 9% is consistent with deliberate misclassification to obtain a lower VAT rate.</t>
  </si>
  <si>
    <t>Product declared as 'Educational / academic material' (BP-03) but physical product characteristics, packaging, and marketing materials align with 'Digital content / electronic service' (BP-04). Declared VAT rate of 9% is below the recommended 21% applicable for NL. Peer analysis confirms other sellers importing equivalent products apply the higher rate. New market entrant; registered 5 months ago with no verifiable compliance record in destination country. Seller 'Hyderabad KidsEdu Traders' from India is flagged in the risk intelligence database for destination NL.</t>
  </si>
  <si>
    <t>Reading Comprehension Workbook Set</t>
  </si>
  <si>
    <t>5-book reading comprehension workbook set, certified educational content, ages 7–11, aligned to Irish primary curriculum</t>
  </si>
  <si>
    <t>IELTS Academic Practice Tests Book</t>
  </si>
  <si>
    <t>IELTS Academic 10 full-length practice tests with answers, 280pp, academic preparation publication, Cambridge University Press</t>
  </si>
  <si>
    <t>Irish History Illustrated Encyclopedia</t>
  </si>
  <si>
    <t>Illustrated encyclopedia of Irish history from prehistoric times to present, 480pp, hardback, printed publication</t>
  </si>
  <si>
    <t>Educational Content Package</t>
  </si>
  <si>
    <t>A package of educational materials and content for academic use</t>
  </si>
  <si>
    <t>The product description for 'Educational Content Package' does not contain sufficient detail to confirm the declared VAT category. Third-party verification or supplementary documentation from the importer is required to assign the correct VAT treatment. Seller 'Hyderabad KidsEdu Traders' exhibits characteristics associated with elevated compliance risk. New market entrant; registered 5 months ago with no verifiable compliance record in destination country.</t>
  </si>
  <si>
    <t>The product description for 'Educational Content Package' does not contain sufficient detail to confirm the declared VAT category. Third-party verification is recommended before releasing the shipment.</t>
  </si>
  <si>
    <t>Description 'Educational Content Package' provides insufficient product detail. Key missing data: active ingredients, CE certifications, target demographic, intended use, or HS code alignment. No prior import history exists under this seller-category-destination combination for cross-referencing. New market entrant; registered 5 months ago with no verifiable compliance record in destination country. Seller 'Hyderabad KidsEdu Traders' from India is flagged in the risk intelligence database for destination NL.</t>
  </si>
  <si>
    <t>EU VAT Category Name</t>
  </si>
  <si>
    <t>Category</t>
  </si>
  <si>
    <t>VAT Category ID</t>
  </si>
  <si>
    <t>EL-06</t>
  </si>
  <si>
    <t>Medical UV protective eyewear</t>
  </si>
  <si>
    <t>EL-10</t>
  </si>
  <si>
    <t>Cosmetic makeup product</t>
  </si>
  <si>
    <t>CO-02</t>
  </si>
  <si>
    <t>Cosmetic hair care product</t>
  </si>
  <si>
    <t>CO-03</t>
  </si>
  <si>
    <t>Perfume &amp; fragrance</t>
  </si>
  <si>
    <t>CO-05</t>
  </si>
  <si>
    <t>Sunscreen / sun protection product</t>
  </si>
  <si>
    <t>CO-08</t>
  </si>
  <si>
    <t>Probiotic / microbiome supplement</t>
  </si>
  <si>
    <t>FS-06</t>
  </si>
  <si>
    <t>Agricultural animal feed</t>
  </si>
  <si>
    <t>FP-06</t>
  </si>
  <si>
    <t>Children's clothing / garments</t>
  </si>
  <si>
    <t>CL-02</t>
  </si>
  <si>
    <t>Raw textile / fabric material</t>
  </si>
  <si>
    <t>CL-03</t>
  </si>
  <si>
    <t>Toy costume / children's dress-up</t>
  </si>
  <si>
    <t>TO-05</t>
  </si>
  <si>
    <t>Electronic publication / e-book</t>
  </si>
  <si>
    <t>BP-01</t>
  </si>
  <si>
    <t>Original artwork</t>
  </si>
  <si>
    <t>BP-05</t>
  </si>
  <si>
    <t>Digital service / electronic supply</t>
  </si>
  <si>
    <t>DS-01</t>
  </si>
  <si>
    <t>Overall Risk Score (old)</t>
  </si>
  <si>
    <t>Overall Risk Score (Calculated) old</t>
  </si>
  <si>
    <t>Recommend Release</t>
  </si>
  <si>
    <t>Product declared as 'Consumer electronics — general' (EL-02) but physical product characteristics, packaging, and marketing materials align with 'Medical device / diagnostic equipment' (EL-09). No VAT exposure estimated</t>
  </si>
  <si>
    <t>Peers importing similar products to FR consistently classify under 'Medical device / diagnostic equipment' (EL-09) at 5.5%. No VAT exposure estimated</t>
  </si>
  <si>
    <t>The product 'Digital Thermometer Display Unit' has been declared under 'Consumer electronics — general' (EL-02, 20% (S)) but evidence indicates the correct category is 'Medical device / diagnostic equipment' (EL-09, 5.5% (R1)) for FR. The declared VAT rate is higher than the rate applicable to the correct category. No VAT exposure estimated</t>
  </si>
  <si>
    <t>Customs Authority Action (New)</t>
  </si>
  <si>
    <t>3rd Party</t>
  </si>
  <si>
    <t>N/A</t>
  </si>
  <si>
    <t>Submit to Tax Authority</t>
  </si>
  <si>
    <t>Supplier Risk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</si>
</sst>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
    </font>
    <font>
      <sz val="11"/>
      <name val="Aptos Narrow"/>
      <family val="2"/>
      <charset val="1"/>
    </font>
    <font>
      <b/>
      <sz val="11"/>
      <color theme="0"/>
      <name val="Aptos "/>
      <charset val="1"/>
    </font>
    <font>
      <sz val="11"/>
      <color rgb="FF9C0006"/>
      <name val="Aptos Narrow"/>
      <family val="2"/>
      <charset val="1"/>
    </font>
    <font>
      <b/>
      <sz val="11"/>
      <color theme="0"/>
      <name val="Aptos Narrow"/>
      <family val="2"/>
      <charset val="1"/>
    </font>
    <font>
      <sz val="10"/>
      <name val="Arial"/>
      <charset val="1"/>
    </font>
    <font>
      <sz val="10"/>
      <name val="Arial"/>
    </font>
    <font>
      <sz val="10"/>
      <name val="Arial"/>
      <family val="2"/>
    </font>
  </fonts>
  <fills count="5">
    <fill>
      <patternFill patternType="none"/>
    </fill>
    <fill>
      <patternFill patternType="gray125"/>
    </fill>
    <fill>
      <patternFill patternType="solid">
        <fgColor rgb="FFFFC7CE"/>
        <bgColor rgb="FFD0D0D0"/>
      </patternFill>
    </fill>
    <fill>
      <patternFill patternType="solid">
        <fgColor rgb="FF1F3864"/>
        <bgColor rgb="FF333333"/>
      </patternFill>
    </fill>
    <fill>
      <patternFill patternType="solid">
        <fgColor rgb="FF344F6E"/>
        <bgColor rgb="FF1F38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3" fillId="2" borderId="0"/>
  </cellStyleXfs>
  <cellXfs count="26">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10" fontId="1" fillId="0" borderId="0" xfId="0" applyNumberFormat="1" applyFont="1"/>
    <xf numFmtId="0" fontId="1" fillId="0" borderId="0" xfId="0" applyFont="1" applyAlignment="1">
      <alignment horizontal="center" wrapText="1"/>
    </xf>
    <xf numFmtId="9" fontId="5" fillId="0" borderId="0" xfId="0" applyNumberFormat="1" applyFont="1" applyAlignment="1">
      <alignment horizontal="center" vertical="top" wrapText="1"/>
    </xf>
    <xf numFmtId="9" fontId="6" fillId="0" borderId="0" xfId="0" applyNumberFormat="1" applyFont="1" applyAlignment="1">
      <alignment horizontal="center" vertical="top" wrapText="1"/>
    </xf>
    <xf numFmtId="9" fontId="1" fillId="0" borderId="0" xfId="0" applyNumberFormat="1" applyFont="1" applyAlignment="1">
      <alignment horizontal="center"/>
    </xf>
    <xf numFmtId="1" fontId="5" fillId="0" borderId="0" xfId="0" applyNumberFormat="1" applyFont="1" applyAlignment="1">
      <alignment horizontal="center" vertical="top" wrapText="1"/>
    </xf>
    <xf numFmtId="0" fontId="7" fillId="0" borderId="0" xfId="0" applyFont="1" applyAlignment="1">
      <alignment vertical="top" wrapText="1"/>
    </xf>
    <xf numFmtId="1" fontId="2" fillId="3" borderId="1" xfId="0" applyNumberFormat="1" applyFont="1" applyFill="1" applyBorder="1" applyAlignment="1">
      <alignment horizontal="center" vertical="center" wrapText="1"/>
    </xf>
    <xf numFmtId="1" fontId="1" fillId="0" borderId="0" xfId="0" applyNumberFormat="1" applyFont="1" applyAlignment="1">
      <alignment horizontal="center" wrapText="1"/>
    </xf>
    <xf numFmtId="0" fontId="5" fillId="0" borderId="0" xfId="0" applyFont="1" applyAlignment="1">
      <alignment horizontal="left" vertical="top" wrapText="1"/>
    </xf>
    <xf numFmtId="0" fontId="1" fillId="0" borderId="0" xfId="0" applyFont="1" applyAlignment="1">
      <alignment horizontal="left" wrapText="1"/>
    </xf>
    <xf numFmtId="0" fontId="6" fillId="0" borderId="0" xfId="0" applyFont="1" applyAlignment="1">
      <alignment horizontal="left" vertical="top" wrapText="1"/>
    </xf>
    <xf numFmtId="0" fontId="1" fillId="0" borderId="0" xfId="0" applyFont="1" applyAlignment="1">
      <alignment horizontal="left"/>
    </xf>
  </cellXfs>
  <cellStyles count="2">
    <cellStyle name="Excel Built-in Bad" xfId="1" xr:uid="{00000000-0005-0000-0000-000006000000}"/>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44F6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ED8D-6B9A-4980-9228-7FF8612118AE}">
  <sheetPr filterMode="1"/>
  <dimension ref="A1:AK192"/>
  <sheetViews>
    <sheetView tabSelected="1" zoomScale="107" zoomScaleNormal="64" workbookViewId="0">
      <pane ySplit="1" topLeftCell="A13" activePane="bottomLeft" state="frozen"/>
      <selection activeCell="Y1" sqref="Y1"/>
      <selection pane="bottomLeft" activeCell="AH13" sqref="AH13:AH184"/>
    </sheetView>
  </sheetViews>
  <sheetFormatPr defaultColWidth="24.15625" defaultRowHeight="14.4"/>
  <cols>
    <col min="1" max="1" width="38" style="1" customWidth="1"/>
    <col min="2" max="2" width="17.15625" style="1" customWidth="1"/>
    <col min="3" max="3" width="15.68359375" style="1" customWidth="1"/>
    <col min="4" max="4" width="34.26171875" style="14" customWidth="1"/>
    <col min="5" max="5" width="31.578125" style="3" customWidth="1"/>
    <col min="6" max="6" width="69.68359375" style="3" customWidth="1"/>
    <col min="7" max="7" width="35" style="2" customWidth="1"/>
    <col min="8" max="8" width="48" style="1" customWidth="1"/>
    <col min="9" max="9" width="25.578125" style="1" customWidth="1"/>
    <col min="10" max="10" width="23.83984375" style="2" customWidth="1"/>
    <col min="11" max="11" width="20.83984375" style="2" customWidth="1"/>
    <col min="12" max="12" width="21.83984375" style="2" customWidth="1"/>
    <col min="13" max="13" width="15.26171875" style="1" customWidth="1"/>
    <col min="14" max="15" width="37.26171875" style="1" customWidth="1"/>
    <col min="16" max="16" width="20.41796875" style="1" customWidth="1"/>
    <col min="17" max="17" width="21.41796875" style="2" customWidth="1"/>
    <col min="18" max="18" width="35" style="2" bestFit="1" customWidth="1"/>
    <col min="19" max="19" width="36.68359375" style="2" bestFit="1" customWidth="1"/>
    <col min="20" max="20" width="17.68359375" style="2" customWidth="1"/>
    <col min="21" max="21" width="21.83984375" style="1" customWidth="1"/>
    <col min="22" max="22" width="15.578125" style="1" hidden="1" customWidth="1"/>
    <col min="23" max="23" width="15.578125" style="2" customWidth="1"/>
    <col min="24" max="24" width="19.41796875" style="1" customWidth="1"/>
    <col min="25" max="25" width="18.41796875" style="1" customWidth="1"/>
    <col min="26" max="26" width="32.68359375" style="1" customWidth="1"/>
    <col min="27" max="27" width="92.41796875" style="3" customWidth="1"/>
    <col min="28" max="28" width="21" style="3" customWidth="1"/>
    <col min="29" max="29" width="25.68359375" style="2" hidden="1" customWidth="1"/>
    <col min="30" max="30" width="23.26171875" style="14" hidden="1" customWidth="1"/>
    <col min="31" max="31" width="23.26171875" style="21" hidden="1" customWidth="1"/>
    <col min="32" max="32" width="24.15625" style="2" hidden="1" customWidth="1"/>
    <col min="33" max="33" width="59.26171875" style="3" customWidth="1"/>
    <col min="34" max="34" width="34.578125" style="23" customWidth="1"/>
    <col min="35" max="35" width="54.41796875" style="23" hidden="1" customWidth="1"/>
    <col min="36" max="36" width="33.578125" style="25" customWidth="1"/>
    <col min="37" max="37" width="89.83984375" style="3" customWidth="1"/>
    <col min="38" max="38" width="24.15625" style="1" customWidth="1"/>
    <col min="39" max="16384" width="24.15625" style="1"/>
  </cols>
  <sheetData>
    <row r="1" spans="1:37" s="8" customFormat="1" ht="89.25" customHeight="1">
      <c r="A1" s="4" t="s">
        <v>0</v>
      </c>
      <c r="B1" s="4" t="s">
        <v>1</v>
      </c>
      <c r="C1" s="4" t="s">
        <v>2</v>
      </c>
      <c r="D1" s="4" t="s">
        <v>3</v>
      </c>
      <c r="E1" s="4" t="s">
        <v>4</v>
      </c>
      <c r="F1" s="4" t="s">
        <v>5</v>
      </c>
      <c r="G1" s="5" t="s">
        <v>6</v>
      </c>
      <c r="H1" s="4" t="s">
        <v>7</v>
      </c>
      <c r="I1" s="4" t="s">
        <v>8</v>
      </c>
      <c r="J1" s="5" t="s">
        <v>9</v>
      </c>
      <c r="K1" s="5" t="s">
        <v>10</v>
      </c>
      <c r="L1" s="5" t="s">
        <v>11</v>
      </c>
      <c r="M1" s="5" t="s">
        <v>12</v>
      </c>
      <c r="N1" s="6" t="s">
        <v>13</v>
      </c>
      <c r="O1" s="6" t="s">
        <v>14</v>
      </c>
      <c r="P1" s="4" t="s">
        <v>15</v>
      </c>
      <c r="Q1" s="6" t="s">
        <v>16</v>
      </c>
      <c r="R1" s="6" t="s">
        <v>17</v>
      </c>
      <c r="S1" s="5" t="s">
        <v>18</v>
      </c>
      <c r="T1" s="5" t="s">
        <v>19</v>
      </c>
      <c r="U1" s="5" t="s">
        <v>20</v>
      </c>
      <c r="V1" s="5" t="s">
        <v>21</v>
      </c>
      <c r="W1" s="5" t="s">
        <v>704</v>
      </c>
      <c r="X1" s="7" t="s">
        <v>22</v>
      </c>
      <c r="Y1" s="4" t="s">
        <v>23</v>
      </c>
      <c r="Z1" s="4" t="s">
        <v>24</v>
      </c>
      <c r="AA1" s="4" t="s">
        <v>25</v>
      </c>
      <c r="AB1" s="4" t="s">
        <v>26</v>
      </c>
      <c r="AC1" s="4" t="s">
        <v>695</v>
      </c>
      <c r="AD1" s="4" t="s">
        <v>694</v>
      </c>
      <c r="AE1" s="20" t="s">
        <v>27</v>
      </c>
      <c r="AF1" s="4" t="s">
        <v>28</v>
      </c>
      <c r="AG1" s="4" t="s">
        <v>29</v>
      </c>
      <c r="AH1" s="4" t="s">
        <v>700</v>
      </c>
      <c r="AI1" s="4" t="s">
        <v>30</v>
      </c>
      <c r="AJ1" s="4" t="s">
        <v>31</v>
      </c>
      <c r="AK1" s="4" t="s">
        <v>32</v>
      </c>
    </row>
    <row r="2" spans="1:37" ht="60" hidden="1" customHeight="1">
      <c r="A2" s="9" t="s">
        <v>33</v>
      </c>
      <c r="B2" s="9" t="s">
        <v>34</v>
      </c>
      <c r="C2" s="9" t="s">
        <v>35</v>
      </c>
      <c r="D2" s="9" t="s">
        <v>36</v>
      </c>
      <c r="E2" s="9" t="s">
        <v>37</v>
      </c>
      <c r="F2" s="9" t="s">
        <v>38</v>
      </c>
      <c r="G2" s="9" t="s">
        <v>36</v>
      </c>
      <c r="H2" s="9" t="s">
        <v>39</v>
      </c>
      <c r="I2" s="9" t="s">
        <v>40</v>
      </c>
      <c r="J2" s="11" t="s">
        <v>41</v>
      </c>
      <c r="K2" s="11">
        <v>19</v>
      </c>
      <c r="L2" s="11" t="s">
        <v>42</v>
      </c>
      <c r="M2" s="9">
        <v>0</v>
      </c>
      <c r="N2" s="9" t="s">
        <v>36</v>
      </c>
      <c r="O2" s="9" t="s">
        <v>39</v>
      </c>
      <c r="P2" s="9" t="s">
        <v>40</v>
      </c>
      <c r="Q2" s="11" t="s">
        <v>41</v>
      </c>
      <c r="R2" s="11">
        <v>19</v>
      </c>
      <c r="S2" s="11" t="s">
        <v>42</v>
      </c>
      <c r="T2" s="9">
        <v>0</v>
      </c>
      <c r="U2" s="9" t="s">
        <v>42</v>
      </c>
      <c r="V2" s="9">
        <v>0</v>
      </c>
      <c r="W2" s="11" t="s">
        <v>42</v>
      </c>
      <c r="X2" s="9" t="s">
        <v>43</v>
      </c>
      <c r="Y2" s="9">
        <v>0</v>
      </c>
      <c r="Z2" s="9"/>
      <c r="AA2" s="9"/>
      <c r="AB2" s="11">
        <f>R2-K2</f>
        <v>0</v>
      </c>
      <c r="AC2" s="11">
        <f>IF(Z2="",M2*T2*V2,IF(Z2="VAT Misclassification",M2,IF(Z2="VAT Product Description Vague",T2,IF(Z2="Supplier Risk",V2,IF(Z2="VAT Misclassification, Supplier Risk",MAX(M2,V2)+10,IF(Z2="VAT Product Description Vague, Supplier Risk",MAX(T2,V2)+10,9999))))))</f>
        <v>0</v>
      </c>
      <c r="AD2" s="15">
        <v>0</v>
      </c>
      <c r="AE2" s="18">
        <f>IF(Z2="",M2*T2*V2,IF(Z2="VAT Misclassification",IF(AB2&gt;0,M2,M2*0),IF(Z2="VAT Product Description Vague",T2,IF(Z2="Supplier Risk",V2,IF(Z2="VAT Misclassification, Supplier Risk",IF(V2&gt;70,V2,IF(AB2&gt;0,M2,M2*0)),IF(Z2="VAT Product Description Vague, Supplier Risk",MAX(T2*100%+V2*100%),9999))))))</f>
        <v>0</v>
      </c>
      <c r="AF2" s="11" t="str">
        <f>IF(AE2&lt;30,"Low",IF(AE2&lt;80,"Medium","High"))</f>
        <v>Low</v>
      </c>
      <c r="AG2" s="9"/>
      <c r="AH2" s="22"/>
      <c r="AI2" s="22" t="str">
        <f t="shared" ref="AI2:AI33" si="0">IF(AE2&lt;30,"Release",IF(AE2&lt;80,"Investigate","Retain"))</f>
        <v>Release</v>
      </c>
      <c r="AJ2" s="22"/>
      <c r="AK2" s="9"/>
    </row>
    <row r="3" spans="1:37" ht="60" hidden="1" customHeight="1">
      <c r="A3" s="9" t="s">
        <v>33</v>
      </c>
      <c r="B3" s="9" t="s">
        <v>34</v>
      </c>
      <c r="C3" s="9" t="s">
        <v>35</v>
      </c>
      <c r="D3" s="9" t="s">
        <v>36</v>
      </c>
      <c r="E3" s="9" t="s">
        <v>44</v>
      </c>
      <c r="F3" s="9" t="s">
        <v>45</v>
      </c>
      <c r="G3" s="9" t="s">
        <v>36</v>
      </c>
      <c r="H3" s="9" t="s">
        <v>46</v>
      </c>
      <c r="I3" s="9" t="s">
        <v>47</v>
      </c>
      <c r="J3" s="11" t="s">
        <v>41</v>
      </c>
      <c r="K3" s="11">
        <v>19</v>
      </c>
      <c r="L3" s="11" t="s">
        <v>42</v>
      </c>
      <c r="M3" s="9">
        <v>0</v>
      </c>
      <c r="N3" s="9" t="s">
        <v>36</v>
      </c>
      <c r="O3" s="9" t="s">
        <v>46</v>
      </c>
      <c r="P3" s="9" t="s">
        <v>47</v>
      </c>
      <c r="Q3" s="11" t="s">
        <v>41</v>
      </c>
      <c r="R3" s="11">
        <v>19</v>
      </c>
      <c r="S3" s="11" t="s">
        <v>42</v>
      </c>
      <c r="T3" s="9">
        <v>0</v>
      </c>
      <c r="U3" s="9" t="s">
        <v>42</v>
      </c>
      <c r="V3" s="9">
        <v>0</v>
      </c>
      <c r="W3" s="11" t="s">
        <v>42</v>
      </c>
      <c r="X3" s="9" t="s">
        <v>43</v>
      </c>
      <c r="Y3" s="9">
        <v>0</v>
      </c>
      <c r="Z3" s="9"/>
      <c r="AA3" s="9"/>
      <c r="AB3" s="11">
        <f t="shared" ref="AB3:AB66" si="1">R3-K3</f>
        <v>0</v>
      </c>
      <c r="AC3" s="11">
        <f t="shared" ref="AC3:AC66" si="2">IF(Z3="",M3*T3*V3,IF(Z3="VAT Misclassification",M3,IF(Z3="VAT Product Description Vague",T3,IF(Z3="Supplier Risk",V3,IF(Z3="VAT Misclassification, Supplier Risk",MAX(M3,V3)+10,IF(Z3="VAT Product Description Vague, Supplier Risk",MAX(T3,V3)+10,9999))))))</f>
        <v>0</v>
      </c>
      <c r="AD3" s="15">
        <v>0</v>
      </c>
      <c r="AE3" s="18">
        <f t="shared" ref="AE3:AE66" si="3">IF(Z3="",M3*T3*V3,IF(Z3="VAT Misclassification",IF(AB3&gt;0,M3,M3*0),IF(Z3="VAT Product Description Vague",T3,IF(Z3="Supplier Risk",V3,IF(Z3="VAT Misclassification, Supplier Risk",IF(V3&gt;70,V3,IF(AB3&gt;0,M3,M3*0)),IF(Z3="VAT Product Description Vague, Supplier Risk",MAX(T3*100%+V3*100%),9999))))))</f>
        <v>0</v>
      </c>
      <c r="AF3" s="11" t="str">
        <f t="shared" ref="AF3:AF66" si="4">IF(AE3&lt;30,"Low",IF(AE3&lt;80,"Medium","High"))</f>
        <v>Low</v>
      </c>
      <c r="AG3" s="9"/>
      <c r="AH3" s="22"/>
      <c r="AI3" s="22" t="str">
        <f t="shared" si="0"/>
        <v>Release</v>
      </c>
      <c r="AJ3" s="22"/>
      <c r="AK3" s="9"/>
    </row>
    <row r="4" spans="1:37" ht="60" hidden="1" customHeight="1">
      <c r="A4" s="9" t="s">
        <v>33</v>
      </c>
      <c r="B4" s="9" t="s">
        <v>34</v>
      </c>
      <c r="C4" s="9" t="s">
        <v>35</v>
      </c>
      <c r="D4" s="9" t="s">
        <v>36</v>
      </c>
      <c r="E4" s="9" t="s">
        <v>48</v>
      </c>
      <c r="F4" s="9" t="s">
        <v>49</v>
      </c>
      <c r="G4" s="9" t="s">
        <v>36</v>
      </c>
      <c r="H4" s="9" t="s">
        <v>50</v>
      </c>
      <c r="I4" s="9" t="s">
        <v>51</v>
      </c>
      <c r="J4" s="11" t="s">
        <v>41</v>
      </c>
      <c r="K4" s="11">
        <v>19</v>
      </c>
      <c r="L4" s="11" t="s">
        <v>42</v>
      </c>
      <c r="M4" s="9">
        <v>0</v>
      </c>
      <c r="N4" s="9" t="s">
        <v>36</v>
      </c>
      <c r="O4" s="9" t="s">
        <v>50</v>
      </c>
      <c r="P4" s="9" t="s">
        <v>51</v>
      </c>
      <c r="Q4" s="11" t="s">
        <v>41</v>
      </c>
      <c r="R4" s="11">
        <v>19</v>
      </c>
      <c r="S4" s="11" t="s">
        <v>42</v>
      </c>
      <c r="T4" s="9">
        <v>0</v>
      </c>
      <c r="U4" s="9" t="s">
        <v>42</v>
      </c>
      <c r="V4" s="9">
        <v>0</v>
      </c>
      <c r="W4" s="11" t="s">
        <v>42</v>
      </c>
      <c r="X4" s="9" t="s">
        <v>43</v>
      </c>
      <c r="Y4" s="9">
        <v>0</v>
      </c>
      <c r="Z4" s="9"/>
      <c r="AA4" s="9"/>
      <c r="AB4" s="11">
        <f t="shared" si="1"/>
        <v>0</v>
      </c>
      <c r="AC4" s="11">
        <f t="shared" si="2"/>
        <v>0</v>
      </c>
      <c r="AD4" s="15">
        <v>0</v>
      </c>
      <c r="AE4" s="18">
        <f t="shared" si="3"/>
        <v>0</v>
      </c>
      <c r="AF4" s="11" t="str">
        <f t="shared" si="4"/>
        <v>Low</v>
      </c>
      <c r="AG4" s="9"/>
      <c r="AH4" s="22"/>
      <c r="AI4" s="22" t="str">
        <f t="shared" si="0"/>
        <v>Release</v>
      </c>
      <c r="AJ4" s="22"/>
      <c r="AK4" s="9"/>
    </row>
    <row r="5" spans="1:37" ht="60" hidden="1" customHeight="1">
      <c r="A5" s="9" t="s">
        <v>33</v>
      </c>
      <c r="B5" s="9" t="s">
        <v>34</v>
      </c>
      <c r="C5" s="9" t="s">
        <v>52</v>
      </c>
      <c r="D5" s="9" t="s">
        <v>36</v>
      </c>
      <c r="E5" s="9" t="s">
        <v>53</v>
      </c>
      <c r="F5" s="9" t="s">
        <v>54</v>
      </c>
      <c r="G5" s="9" t="s">
        <v>36</v>
      </c>
      <c r="H5" s="9" t="s">
        <v>55</v>
      </c>
      <c r="I5" s="9" t="s">
        <v>56</v>
      </c>
      <c r="J5" s="11" t="s">
        <v>57</v>
      </c>
      <c r="K5" s="11">
        <v>5.5</v>
      </c>
      <c r="L5" s="11" t="s">
        <v>43</v>
      </c>
      <c r="M5" s="9">
        <v>25</v>
      </c>
      <c r="N5" s="9" t="s">
        <v>36</v>
      </c>
      <c r="O5" s="9" t="s">
        <v>46</v>
      </c>
      <c r="P5" s="9" t="s">
        <v>47</v>
      </c>
      <c r="Q5" s="11" t="s">
        <v>41</v>
      </c>
      <c r="R5" s="11">
        <v>20</v>
      </c>
      <c r="S5" s="11" t="s">
        <v>42</v>
      </c>
      <c r="T5" s="11">
        <v>0</v>
      </c>
      <c r="U5" s="9" t="s">
        <v>42</v>
      </c>
      <c r="V5" s="9">
        <v>0</v>
      </c>
      <c r="W5" s="11" t="s">
        <v>42</v>
      </c>
      <c r="X5" s="9" t="s">
        <v>42</v>
      </c>
      <c r="Y5" s="9">
        <v>1</v>
      </c>
      <c r="Z5" s="9" t="s">
        <v>58</v>
      </c>
      <c r="AA5" s="9" t="s">
        <v>59</v>
      </c>
      <c r="AB5" s="11">
        <f t="shared" si="1"/>
        <v>14.5</v>
      </c>
      <c r="AC5" s="11">
        <f t="shared" si="2"/>
        <v>25</v>
      </c>
      <c r="AD5" s="15">
        <v>0.75</v>
      </c>
      <c r="AE5" s="18">
        <f t="shared" si="3"/>
        <v>25</v>
      </c>
      <c r="AF5" s="11" t="str">
        <f t="shared" si="4"/>
        <v>Low</v>
      </c>
      <c r="AG5" s="9" t="s">
        <v>60</v>
      </c>
      <c r="AH5" s="23" t="s">
        <v>703</v>
      </c>
      <c r="AI5" s="22" t="str">
        <f t="shared" si="0"/>
        <v>Release</v>
      </c>
      <c r="AJ5" s="22" t="s">
        <v>322</v>
      </c>
      <c r="AK5" s="9" t="s">
        <v>62</v>
      </c>
    </row>
    <row r="6" spans="1:37" ht="60" hidden="1" customHeight="1">
      <c r="A6" s="9" t="s">
        <v>33</v>
      </c>
      <c r="B6" s="9" t="s">
        <v>34</v>
      </c>
      <c r="C6" s="9" t="s">
        <v>52</v>
      </c>
      <c r="D6" s="9" t="s">
        <v>36</v>
      </c>
      <c r="E6" s="9" t="s">
        <v>63</v>
      </c>
      <c r="F6" s="9" t="s">
        <v>64</v>
      </c>
      <c r="G6" s="9" t="s">
        <v>36</v>
      </c>
      <c r="H6" s="9" t="s">
        <v>39</v>
      </c>
      <c r="I6" s="9" t="s">
        <v>40</v>
      </c>
      <c r="J6" s="11" t="s">
        <v>41</v>
      </c>
      <c r="K6" s="11">
        <v>20</v>
      </c>
      <c r="L6" s="11" t="s">
        <v>42</v>
      </c>
      <c r="M6" s="9">
        <v>0</v>
      </c>
      <c r="N6" s="9" t="s">
        <v>36</v>
      </c>
      <c r="O6" s="9" t="s">
        <v>39</v>
      </c>
      <c r="P6" s="9" t="s">
        <v>40</v>
      </c>
      <c r="Q6" s="11" t="s">
        <v>41</v>
      </c>
      <c r="R6" s="11">
        <v>20</v>
      </c>
      <c r="S6" s="11" t="s">
        <v>42</v>
      </c>
      <c r="T6" s="9">
        <v>0</v>
      </c>
      <c r="U6" s="9" t="s">
        <v>42</v>
      </c>
      <c r="V6" s="9">
        <v>0</v>
      </c>
      <c r="W6" s="11" t="s">
        <v>42</v>
      </c>
      <c r="X6" s="9" t="s">
        <v>43</v>
      </c>
      <c r="Y6" s="9">
        <v>0</v>
      </c>
      <c r="Z6" s="9"/>
      <c r="AA6" s="9"/>
      <c r="AB6" s="11">
        <f t="shared" si="1"/>
        <v>0</v>
      </c>
      <c r="AC6" s="11">
        <f t="shared" si="2"/>
        <v>0</v>
      </c>
      <c r="AD6" s="15">
        <v>0</v>
      </c>
      <c r="AE6" s="18">
        <f t="shared" si="3"/>
        <v>0</v>
      </c>
      <c r="AF6" s="11" t="str">
        <f t="shared" si="4"/>
        <v>Low</v>
      </c>
      <c r="AG6" s="9"/>
      <c r="AH6" s="22"/>
      <c r="AI6" s="22" t="str">
        <f t="shared" si="0"/>
        <v>Release</v>
      </c>
      <c r="AJ6" s="22"/>
      <c r="AK6" s="9"/>
    </row>
    <row r="7" spans="1:37" ht="60" hidden="1" customHeight="1">
      <c r="A7" s="9" t="s">
        <v>33</v>
      </c>
      <c r="B7" s="9" t="s">
        <v>34</v>
      </c>
      <c r="C7" s="9" t="s">
        <v>52</v>
      </c>
      <c r="D7" s="9" t="s">
        <v>36</v>
      </c>
      <c r="E7" s="9" t="s">
        <v>65</v>
      </c>
      <c r="F7" s="9" t="s">
        <v>66</v>
      </c>
      <c r="G7" s="9" t="s">
        <v>36</v>
      </c>
      <c r="H7" s="9" t="s">
        <v>50</v>
      </c>
      <c r="I7" s="9" t="s">
        <v>51</v>
      </c>
      <c r="J7" s="11" t="s">
        <v>41</v>
      </c>
      <c r="K7" s="11">
        <v>20</v>
      </c>
      <c r="L7" s="11" t="s">
        <v>42</v>
      </c>
      <c r="M7" s="9">
        <v>0</v>
      </c>
      <c r="N7" s="9" t="s">
        <v>36</v>
      </c>
      <c r="O7" s="9" t="s">
        <v>50</v>
      </c>
      <c r="P7" s="9" t="s">
        <v>51</v>
      </c>
      <c r="Q7" s="11" t="s">
        <v>41</v>
      </c>
      <c r="R7" s="11">
        <v>20</v>
      </c>
      <c r="S7" s="11" t="s">
        <v>42</v>
      </c>
      <c r="T7" s="9">
        <v>0</v>
      </c>
      <c r="U7" s="9" t="s">
        <v>42</v>
      </c>
      <c r="V7" s="9">
        <v>0</v>
      </c>
      <c r="W7" s="11" t="s">
        <v>42</v>
      </c>
      <c r="X7" s="9" t="s">
        <v>43</v>
      </c>
      <c r="Y7" s="9">
        <v>0</v>
      </c>
      <c r="Z7" s="9"/>
      <c r="AA7" s="9"/>
      <c r="AB7" s="11">
        <f t="shared" si="1"/>
        <v>0</v>
      </c>
      <c r="AC7" s="11">
        <f t="shared" si="2"/>
        <v>0</v>
      </c>
      <c r="AD7" s="15">
        <v>0</v>
      </c>
      <c r="AE7" s="18">
        <f t="shared" si="3"/>
        <v>0</v>
      </c>
      <c r="AF7" s="11" t="str">
        <f t="shared" si="4"/>
        <v>Low</v>
      </c>
      <c r="AG7" s="9"/>
      <c r="AH7" s="22"/>
      <c r="AI7" s="22" t="str">
        <f t="shared" si="0"/>
        <v>Release</v>
      </c>
      <c r="AJ7" s="22"/>
      <c r="AK7" s="9"/>
    </row>
    <row r="8" spans="1:37" ht="60" hidden="1" customHeight="1">
      <c r="A8" s="9" t="s">
        <v>33</v>
      </c>
      <c r="B8" s="9" t="s">
        <v>34</v>
      </c>
      <c r="C8" s="9" t="s">
        <v>52</v>
      </c>
      <c r="D8" s="9" t="s">
        <v>36</v>
      </c>
      <c r="E8" s="9" t="s">
        <v>67</v>
      </c>
      <c r="F8" s="9" t="s">
        <v>68</v>
      </c>
      <c r="G8" s="9" t="s">
        <v>36</v>
      </c>
      <c r="H8" s="9" t="s">
        <v>46</v>
      </c>
      <c r="I8" s="9" t="s">
        <v>47</v>
      </c>
      <c r="J8" s="11" t="s">
        <v>41</v>
      </c>
      <c r="K8" s="11">
        <v>20</v>
      </c>
      <c r="L8" s="11" t="s">
        <v>42</v>
      </c>
      <c r="M8" s="9">
        <v>0</v>
      </c>
      <c r="N8" s="9" t="s">
        <v>36</v>
      </c>
      <c r="O8" s="9" t="s">
        <v>46</v>
      </c>
      <c r="P8" s="9" t="s">
        <v>47</v>
      </c>
      <c r="Q8" s="11" t="s">
        <v>41</v>
      </c>
      <c r="R8" s="11">
        <v>20</v>
      </c>
      <c r="S8" s="11" t="s">
        <v>42</v>
      </c>
      <c r="T8" s="9">
        <v>0</v>
      </c>
      <c r="U8" s="9" t="s">
        <v>42</v>
      </c>
      <c r="V8" s="9">
        <v>0</v>
      </c>
      <c r="W8" s="11" t="s">
        <v>42</v>
      </c>
      <c r="X8" s="9" t="s">
        <v>43</v>
      </c>
      <c r="Y8" s="9">
        <v>0</v>
      </c>
      <c r="Z8" s="9"/>
      <c r="AA8" s="9"/>
      <c r="AB8" s="11">
        <f t="shared" si="1"/>
        <v>0</v>
      </c>
      <c r="AC8" s="11">
        <f t="shared" si="2"/>
        <v>0</v>
      </c>
      <c r="AD8" s="15">
        <v>0</v>
      </c>
      <c r="AE8" s="18">
        <f t="shared" si="3"/>
        <v>0</v>
      </c>
      <c r="AF8" s="11" t="str">
        <f t="shared" si="4"/>
        <v>Low</v>
      </c>
      <c r="AG8" s="9"/>
      <c r="AH8" s="22"/>
      <c r="AI8" s="22" t="str">
        <f t="shared" si="0"/>
        <v>Release</v>
      </c>
      <c r="AJ8" s="22"/>
      <c r="AK8" s="9"/>
    </row>
    <row r="9" spans="1:37" ht="60" hidden="1" customHeight="1">
      <c r="A9" s="9" t="s">
        <v>33</v>
      </c>
      <c r="B9" s="9" t="s">
        <v>34</v>
      </c>
      <c r="C9" s="9" t="s">
        <v>35</v>
      </c>
      <c r="D9" s="9" t="s">
        <v>36</v>
      </c>
      <c r="E9" s="9" t="s">
        <v>69</v>
      </c>
      <c r="F9" s="9" t="s">
        <v>70</v>
      </c>
      <c r="G9" s="9" t="s">
        <v>36</v>
      </c>
      <c r="H9" s="9" t="s">
        <v>50</v>
      </c>
      <c r="I9" s="9" t="s">
        <v>51</v>
      </c>
      <c r="J9" s="11" t="s">
        <v>41</v>
      </c>
      <c r="K9" s="11">
        <v>19</v>
      </c>
      <c r="L9" s="11" t="s">
        <v>42</v>
      </c>
      <c r="M9" s="9">
        <v>15</v>
      </c>
      <c r="N9" s="9" t="s">
        <v>36</v>
      </c>
      <c r="O9" s="9" t="s">
        <v>50</v>
      </c>
      <c r="P9" s="9" t="s">
        <v>51</v>
      </c>
      <c r="Q9" s="11" t="s">
        <v>41</v>
      </c>
      <c r="R9" s="11">
        <v>19</v>
      </c>
      <c r="S9" s="11" t="s">
        <v>43</v>
      </c>
      <c r="T9" s="9">
        <v>60</v>
      </c>
      <c r="U9" s="9" t="s">
        <v>42</v>
      </c>
      <c r="V9" s="9">
        <v>0</v>
      </c>
      <c r="W9" s="11" t="s">
        <v>42</v>
      </c>
      <c r="X9" s="9" t="s">
        <v>43</v>
      </c>
      <c r="Y9" s="9">
        <v>1</v>
      </c>
      <c r="Z9" s="9" t="s">
        <v>71</v>
      </c>
      <c r="AA9" s="9" t="s">
        <v>72</v>
      </c>
      <c r="AB9" s="11">
        <f t="shared" si="1"/>
        <v>0</v>
      </c>
      <c r="AC9" s="11">
        <f t="shared" si="2"/>
        <v>60</v>
      </c>
      <c r="AD9" s="15">
        <v>0.44</v>
      </c>
      <c r="AE9" s="18">
        <f t="shared" si="3"/>
        <v>60</v>
      </c>
      <c r="AF9" s="11" t="str">
        <f t="shared" si="4"/>
        <v>Medium</v>
      </c>
      <c r="AG9" s="9" t="s">
        <v>73</v>
      </c>
      <c r="AH9" s="22" t="s">
        <v>696</v>
      </c>
      <c r="AI9" s="22" t="str">
        <f t="shared" si="0"/>
        <v>Investigate</v>
      </c>
      <c r="AJ9" s="22" t="s">
        <v>702</v>
      </c>
      <c r="AK9" s="9" t="s">
        <v>74</v>
      </c>
    </row>
    <row r="10" spans="1:37" ht="60" hidden="1" customHeight="1">
      <c r="A10" s="9" t="s">
        <v>75</v>
      </c>
      <c r="B10" s="9" t="s">
        <v>34</v>
      </c>
      <c r="C10" s="9" t="s">
        <v>35</v>
      </c>
      <c r="D10" s="9" t="s">
        <v>36</v>
      </c>
      <c r="E10" s="9" t="s">
        <v>76</v>
      </c>
      <c r="F10" s="9" t="s">
        <v>77</v>
      </c>
      <c r="G10" s="9" t="s">
        <v>36</v>
      </c>
      <c r="H10" s="9" t="s">
        <v>78</v>
      </c>
      <c r="I10" s="9" t="s">
        <v>79</v>
      </c>
      <c r="J10" s="11" t="s">
        <v>57</v>
      </c>
      <c r="K10" s="11">
        <v>7</v>
      </c>
      <c r="L10" s="11" t="s">
        <v>42</v>
      </c>
      <c r="M10" s="9">
        <v>0</v>
      </c>
      <c r="N10" s="9" t="s">
        <v>36</v>
      </c>
      <c r="O10" s="9" t="s">
        <v>78</v>
      </c>
      <c r="P10" s="9" t="s">
        <v>79</v>
      </c>
      <c r="Q10" s="11" t="s">
        <v>57</v>
      </c>
      <c r="R10" s="11">
        <v>7</v>
      </c>
      <c r="S10" s="11" t="s">
        <v>42</v>
      </c>
      <c r="T10" s="9">
        <v>0</v>
      </c>
      <c r="U10" s="9" t="s">
        <v>42</v>
      </c>
      <c r="V10" s="9">
        <v>0</v>
      </c>
      <c r="W10" s="11" t="s">
        <v>42</v>
      </c>
      <c r="X10" s="9" t="s">
        <v>43</v>
      </c>
      <c r="Y10" s="9">
        <v>0</v>
      </c>
      <c r="Z10" s="9"/>
      <c r="AA10" s="9"/>
      <c r="AB10" s="11">
        <f t="shared" si="1"/>
        <v>0</v>
      </c>
      <c r="AC10" s="11">
        <f t="shared" si="2"/>
        <v>0</v>
      </c>
      <c r="AD10" s="15">
        <v>0</v>
      </c>
      <c r="AE10" s="18">
        <f t="shared" si="3"/>
        <v>0</v>
      </c>
      <c r="AF10" s="11" t="str">
        <f t="shared" si="4"/>
        <v>Low</v>
      </c>
      <c r="AG10" s="9"/>
      <c r="AH10" s="22"/>
      <c r="AI10" s="22" t="str">
        <f t="shared" si="0"/>
        <v>Release</v>
      </c>
      <c r="AJ10" s="22"/>
      <c r="AK10" s="9"/>
    </row>
    <row r="11" spans="1:37" ht="60" hidden="1" customHeight="1">
      <c r="A11" s="9" t="s">
        <v>75</v>
      </c>
      <c r="B11" s="9" t="s">
        <v>34</v>
      </c>
      <c r="C11" s="9" t="s">
        <v>52</v>
      </c>
      <c r="D11" s="9" t="s">
        <v>80</v>
      </c>
      <c r="E11" s="9" t="s">
        <v>81</v>
      </c>
      <c r="F11" s="9" t="s">
        <v>82</v>
      </c>
      <c r="G11" s="9" t="s">
        <v>80</v>
      </c>
      <c r="H11" s="9" t="s">
        <v>83</v>
      </c>
      <c r="I11" s="9" t="s">
        <v>84</v>
      </c>
      <c r="J11" s="11" t="s">
        <v>41</v>
      </c>
      <c r="K11" s="11">
        <v>20</v>
      </c>
      <c r="L11" s="11" t="s">
        <v>42</v>
      </c>
      <c r="M11" s="9">
        <v>0</v>
      </c>
      <c r="N11" s="9" t="s">
        <v>80</v>
      </c>
      <c r="O11" s="9" t="s">
        <v>83</v>
      </c>
      <c r="P11" s="9" t="s">
        <v>84</v>
      </c>
      <c r="Q11" s="11" t="s">
        <v>41</v>
      </c>
      <c r="R11" s="11">
        <v>20</v>
      </c>
      <c r="S11" s="11" t="s">
        <v>42</v>
      </c>
      <c r="T11" s="9">
        <v>0</v>
      </c>
      <c r="U11" s="9" t="s">
        <v>42</v>
      </c>
      <c r="V11" s="9">
        <v>0</v>
      </c>
      <c r="W11" s="11" t="s">
        <v>42</v>
      </c>
      <c r="X11" s="9" t="s">
        <v>43</v>
      </c>
      <c r="Y11" s="9">
        <v>0</v>
      </c>
      <c r="Z11" s="9"/>
      <c r="AA11" s="9"/>
      <c r="AB11" s="11">
        <f t="shared" si="1"/>
        <v>0</v>
      </c>
      <c r="AC11" s="11">
        <f t="shared" si="2"/>
        <v>0</v>
      </c>
      <c r="AD11" s="15">
        <v>0</v>
      </c>
      <c r="AE11" s="18">
        <f t="shared" si="3"/>
        <v>0</v>
      </c>
      <c r="AF11" s="11" t="str">
        <f t="shared" si="4"/>
        <v>Low</v>
      </c>
      <c r="AG11" s="9"/>
      <c r="AH11" s="22"/>
      <c r="AI11" s="22" t="str">
        <f t="shared" si="0"/>
        <v>Release</v>
      </c>
      <c r="AJ11" s="22"/>
      <c r="AK11" s="9"/>
    </row>
    <row r="12" spans="1:37" ht="60" hidden="1" customHeight="1">
      <c r="A12" s="9" t="s">
        <v>75</v>
      </c>
      <c r="B12" s="9" t="s">
        <v>34</v>
      </c>
      <c r="C12" s="9" t="s">
        <v>35</v>
      </c>
      <c r="D12" s="9" t="s">
        <v>80</v>
      </c>
      <c r="E12" s="9" t="s">
        <v>85</v>
      </c>
      <c r="F12" s="9" t="s">
        <v>86</v>
      </c>
      <c r="G12" s="9" t="s">
        <v>80</v>
      </c>
      <c r="H12" s="9" t="s">
        <v>87</v>
      </c>
      <c r="I12" s="9" t="s">
        <v>88</v>
      </c>
      <c r="J12" s="11" t="s">
        <v>57</v>
      </c>
      <c r="K12" s="11">
        <v>7</v>
      </c>
      <c r="L12" s="11" t="s">
        <v>42</v>
      </c>
      <c r="M12" s="9">
        <v>0</v>
      </c>
      <c r="N12" s="9" t="s">
        <v>80</v>
      </c>
      <c r="O12" s="9" t="s">
        <v>87</v>
      </c>
      <c r="P12" s="9" t="s">
        <v>88</v>
      </c>
      <c r="Q12" s="11" t="s">
        <v>57</v>
      </c>
      <c r="R12" s="11">
        <v>7</v>
      </c>
      <c r="S12" s="11" t="s">
        <v>42</v>
      </c>
      <c r="T12" s="9">
        <v>0</v>
      </c>
      <c r="U12" s="9" t="s">
        <v>42</v>
      </c>
      <c r="V12" s="9">
        <v>0</v>
      </c>
      <c r="W12" s="11" t="s">
        <v>42</v>
      </c>
      <c r="X12" s="9" t="s">
        <v>43</v>
      </c>
      <c r="Y12" s="9">
        <v>0</v>
      </c>
      <c r="Z12" s="9"/>
      <c r="AA12" s="9"/>
      <c r="AB12" s="11">
        <f t="shared" si="1"/>
        <v>0</v>
      </c>
      <c r="AC12" s="11">
        <f t="shared" si="2"/>
        <v>0</v>
      </c>
      <c r="AD12" s="15">
        <v>0</v>
      </c>
      <c r="AE12" s="18">
        <f t="shared" si="3"/>
        <v>0</v>
      </c>
      <c r="AF12" s="11" t="str">
        <f t="shared" si="4"/>
        <v>Low</v>
      </c>
      <c r="AG12" s="9"/>
      <c r="AH12" s="22"/>
      <c r="AI12" s="22" t="str">
        <f t="shared" si="0"/>
        <v>Release</v>
      </c>
      <c r="AJ12" s="22"/>
      <c r="AK12" s="9"/>
    </row>
    <row r="13" spans="1:37" ht="60" customHeight="1">
      <c r="A13" s="9" t="s">
        <v>75</v>
      </c>
      <c r="B13" s="9" t="s">
        <v>34</v>
      </c>
      <c r="C13" s="9" t="s">
        <v>52</v>
      </c>
      <c r="D13" s="9" t="s">
        <v>80</v>
      </c>
      <c r="E13" s="9" t="s">
        <v>89</v>
      </c>
      <c r="F13" s="9" t="s">
        <v>90</v>
      </c>
      <c r="G13" s="9" t="s">
        <v>80</v>
      </c>
      <c r="H13" s="9" t="s">
        <v>83</v>
      </c>
      <c r="I13" s="9" t="s">
        <v>84</v>
      </c>
      <c r="J13" s="11" t="s">
        <v>41</v>
      </c>
      <c r="K13" s="11">
        <v>20</v>
      </c>
      <c r="L13" s="11" t="s">
        <v>42</v>
      </c>
      <c r="M13" s="9">
        <v>0</v>
      </c>
      <c r="N13" s="9" t="s">
        <v>80</v>
      </c>
      <c r="O13" s="9" t="s">
        <v>83</v>
      </c>
      <c r="P13" s="9" t="s">
        <v>84</v>
      </c>
      <c r="Q13" s="11" t="s">
        <v>41</v>
      </c>
      <c r="R13" s="11">
        <v>20</v>
      </c>
      <c r="S13" s="11" t="s">
        <v>42</v>
      </c>
      <c r="T13" s="9">
        <v>0</v>
      </c>
      <c r="U13" s="9" t="s">
        <v>43</v>
      </c>
      <c r="V13" s="9">
        <v>90</v>
      </c>
      <c r="W13" s="11" t="s">
        <v>43</v>
      </c>
      <c r="X13" s="9" t="s">
        <v>43</v>
      </c>
      <c r="Y13" s="9">
        <v>1</v>
      </c>
      <c r="Z13" s="9" t="s">
        <v>91</v>
      </c>
      <c r="AA13" s="9" t="s">
        <v>92</v>
      </c>
      <c r="AB13" s="11">
        <f t="shared" si="1"/>
        <v>0</v>
      </c>
      <c r="AC13" s="11">
        <f t="shared" si="2"/>
        <v>90</v>
      </c>
      <c r="AD13" s="15">
        <v>0.85</v>
      </c>
      <c r="AE13" s="18">
        <f t="shared" si="3"/>
        <v>90</v>
      </c>
      <c r="AF13" s="11" t="str">
        <f t="shared" si="4"/>
        <v>High</v>
      </c>
      <c r="AG13" s="9" t="s">
        <v>93</v>
      </c>
      <c r="AH13" s="22" t="s">
        <v>696</v>
      </c>
      <c r="AI13" s="22" t="str">
        <f t="shared" si="0"/>
        <v>Retain</v>
      </c>
      <c r="AJ13" s="22" t="s">
        <v>702</v>
      </c>
      <c r="AK13" s="9" t="s">
        <v>94</v>
      </c>
    </row>
    <row r="14" spans="1:37" ht="60" hidden="1" customHeight="1">
      <c r="A14" s="9" t="s">
        <v>75</v>
      </c>
      <c r="B14" s="9" t="s">
        <v>34</v>
      </c>
      <c r="C14" s="9" t="s">
        <v>52</v>
      </c>
      <c r="D14" s="9" t="s">
        <v>36</v>
      </c>
      <c r="E14" s="9" t="s">
        <v>95</v>
      </c>
      <c r="F14" s="9" t="s">
        <v>96</v>
      </c>
      <c r="G14" s="9" t="s">
        <v>36</v>
      </c>
      <c r="H14" s="9" t="s">
        <v>78</v>
      </c>
      <c r="I14" s="9" t="s">
        <v>79</v>
      </c>
      <c r="J14" s="11" t="s">
        <v>57</v>
      </c>
      <c r="K14" s="11">
        <v>5.5</v>
      </c>
      <c r="L14" s="11" t="s">
        <v>42</v>
      </c>
      <c r="M14" s="9">
        <v>0</v>
      </c>
      <c r="N14" s="9" t="s">
        <v>36</v>
      </c>
      <c r="O14" s="9" t="s">
        <v>78</v>
      </c>
      <c r="P14" s="9" t="s">
        <v>79</v>
      </c>
      <c r="Q14" s="11" t="s">
        <v>57</v>
      </c>
      <c r="R14" s="11">
        <v>5.5</v>
      </c>
      <c r="S14" s="11" t="s">
        <v>42</v>
      </c>
      <c r="T14" s="9">
        <v>0</v>
      </c>
      <c r="U14" s="9" t="s">
        <v>42</v>
      </c>
      <c r="V14" s="9">
        <v>0</v>
      </c>
      <c r="W14" s="11" t="s">
        <v>42</v>
      </c>
      <c r="X14" s="9" t="s">
        <v>43</v>
      </c>
      <c r="Y14" s="9">
        <v>0</v>
      </c>
      <c r="Z14" s="9"/>
      <c r="AA14" s="9"/>
      <c r="AB14" s="11">
        <f t="shared" si="1"/>
        <v>0</v>
      </c>
      <c r="AC14" s="11">
        <f t="shared" si="2"/>
        <v>0</v>
      </c>
      <c r="AD14" s="15">
        <v>0</v>
      </c>
      <c r="AE14" s="18">
        <f t="shared" si="3"/>
        <v>0</v>
      </c>
      <c r="AF14" s="11" t="str">
        <f t="shared" si="4"/>
        <v>Low</v>
      </c>
      <c r="AG14" s="9"/>
      <c r="AH14" s="22"/>
      <c r="AI14" s="22" t="str">
        <f t="shared" si="0"/>
        <v>Release</v>
      </c>
      <c r="AJ14" s="22"/>
      <c r="AK14" s="9"/>
    </row>
    <row r="15" spans="1:37" ht="60" hidden="1" customHeight="1">
      <c r="A15" s="9" t="s">
        <v>75</v>
      </c>
      <c r="B15" s="9" t="s">
        <v>34</v>
      </c>
      <c r="C15" s="9" t="s">
        <v>35</v>
      </c>
      <c r="D15" s="9" t="s">
        <v>80</v>
      </c>
      <c r="E15" s="9" t="s">
        <v>97</v>
      </c>
      <c r="F15" s="9" t="s">
        <v>98</v>
      </c>
      <c r="G15" s="9" t="s">
        <v>80</v>
      </c>
      <c r="H15" s="9" t="s">
        <v>83</v>
      </c>
      <c r="I15" s="9" t="s">
        <v>84</v>
      </c>
      <c r="J15" s="11" t="s">
        <v>41</v>
      </c>
      <c r="K15" s="11">
        <v>19</v>
      </c>
      <c r="L15" s="11" t="s">
        <v>42</v>
      </c>
      <c r="M15" s="9">
        <v>0</v>
      </c>
      <c r="N15" s="9" t="s">
        <v>80</v>
      </c>
      <c r="O15" s="9" t="s">
        <v>83</v>
      </c>
      <c r="P15" s="9" t="s">
        <v>84</v>
      </c>
      <c r="Q15" s="11" t="s">
        <v>41</v>
      </c>
      <c r="R15" s="11">
        <v>19</v>
      </c>
      <c r="S15" s="11" t="s">
        <v>42</v>
      </c>
      <c r="T15" s="9">
        <v>0</v>
      </c>
      <c r="U15" s="9" t="s">
        <v>42</v>
      </c>
      <c r="V15" s="9">
        <v>0</v>
      </c>
      <c r="W15" s="11" t="s">
        <v>42</v>
      </c>
      <c r="X15" s="9" t="s">
        <v>43</v>
      </c>
      <c r="Y15" s="9">
        <v>0</v>
      </c>
      <c r="Z15" s="9"/>
      <c r="AA15" s="9"/>
      <c r="AB15" s="11">
        <f t="shared" si="1"/>
        <v>0</v>
      </c>
      <c r="AC15" s="11">
        <f t="shared" si="2"/>
        <v>0</v>
      </c>
      <c r="AD15" s="15">
        <v>0</v>
      </c>
      <c r="AE15" s="18">
        <f t="shared" si="3"/>
        <v>0</v>
      </c>
      <c r="AF15" s="11" t="str">
        <f t="shared" si="4"/>
        <v>Low</v>
      </c>
      <c r="AG15" s="9"/>
      <c r="AH15" s="22"/>
      <c r="AI15" s="22" t="str">
        <f t="shared" si="0"/>
        <v>Release</v>
      </c>
      <c r="AJ15" s="22"/>
      <c r="AK15" s="9"/>
    </row>
    <row r="16" spans="1:37" ht="60" hidden="1" customHeight="1">
      <c r="A16" s="9" t="s">
        <v>75</v>
      </c>
      <c r="B16" s="9" t="s">
        <v>34</v>
      </c>
      <c r="C16" s="9" t="s">
        <v>35</v>
      </c>
      <c r="D16" s="9" t="s">
        <v>80</v>
      </c>
      <c r="E16" s="9" t="s">
        <v>99</v>
      </c>
      <c r="F16" s="9" t="s">
        <v>100</v>
      </c>
      <c r="G16" s="9" t="s">
        <v>80</v>
      </c>
      <c r="H16" s="9" t="s">
        <v>87</v>
      </c>
      <c r="I16" s="9" t="s">
        <v>88</v>
      </c>
      <c r="J16" s="11" t="s">
        <v>57</v>
      </c>
      <c r="K16" s="11">
        <v>7</v>
      </c>
      <c r="L16" s="11" t="s">
        <v>43</v>
      </c>
      <c r="M16" s="9">
        <v>75</v>
      </c>
      <c r="N16" s="9" t="s">
        <v>80</v>
      </c>
      <c r="O16" s="9" t="s">
        <v>83</v>
      </c>
      <c r="P16" s="9" t="s">
        <v>84</v>
      </c>
      <c r="Q16" s="11" t="s">
        <v>41</v>
      </c>
      <c r="R16" s="11">
        <v>19</v>
      </c>
      <c r="S16" s="11" t="s">
        <v>42</v>
      </c>
      <c r="T16" s="9">
        <v>0</v>
      </c>
      <c r="U16" s="9" t="s">
        <v>43</v>
      </c>
      <c r="V16" s="9">
        <v>40</v>
      </c>
      <c r="W16" s="11" t="s">
        <v>43</v>
      </c>
      <c r="X16" s="9" t="s">
        <v>42</v>
      </c>
      <c r="Y16" s="9">
        <v>2</v>
      </c>
      <c r="Z16" s="9" t="s">
        <v>101</v>
      </c>
      <c r="AA16" s="9" t="s">
        <v>102</v>
      </c>
      <c r="AB16" s="11">
        <f t="shared" si="1"/>
        <v>12</v>
      </c>
      <c r="AC16" s="11">
        <f t="shared" si="2"/>
        <v>85</v>
      </c>
      <c r="AD16" s="15">
        <v>0.79</v>
      </c>
      <c r="AE16" s="18">
        <f t="shared" si="3"/>
        <v>75</v>
      </c>
      <c r="AF16" s="11" t="str">
        <f t="shared" si="4"/>
        <v>Medium</v>
      </c>
      <c r="AG16" s="9" t="s">
        <v>103</v>
      </c>
      <c r="AH16" s="23" t="s">
        <v>703</v>
      </c>
      <c r="AI16" s="22" t="str">
        <f t="shared" si="0"/>
        <v>Investigate</v>
      </c>
      <c r="AJ16" s="22" t="s">
        <v>61</v>
      </c>
      <c r="AK16" s="9" t="s">
        <v>104</v>
      </c>
    </row>
    <row r="17" spans="1:37" ht="60" hidden="1" customHeight="1">
      <c r="A17" s="9" t="s">
        <v>105</v>
      </c>
      <c r="B17" s="9" t="s">
        <v>34</v>
      </c>
      <c r="C17" s="9" t="s">
        <v>35</v>
      </c>
      <c r="D17" s="9" t="s">
        <v>106</v>
      </c>
      <c r="E17" s="9" t="s">
        <v>107</v>
      </c>
      <c r="F17" s="9" t="s">
        <v>108</v>
      </c>
      <c r="G17" s="9" t="s">
        <v>106</v>
      </c>
      <c r="H17" s="9" t="s">
        <v>109</v>
      </c>
      <c r="I17" s="9" t="s">
        <v>110</v>
      </c>
      <c r="J17" s="11" t="s">
        <v>41</v>
      </c>
      <c r="K17" s="11">
        <v>19</v>
      </c>
      <c r="L17" s="11" t="s">
        <v>42</v>
      </c>
      <c r="M17" s="9">
        <v>0</v>
      </c>
      <c r="N17" s="9" t="s">
        <v>106</v>
      </c>
      <c r="O17" s="9" t="s">
        <v>109</v>
      </c>
      <c r="P17" s="9" t="s">
        <v>110</v>
      </c>
      <c r="Q17" s="11" t="s">
        <v>41</v>
      </c>
      <c r="R17" s="11">
        <v>19</v>
      </c>
      <c r="S17" s="11" t="s">
        <v>42</v>
      </c>
      <c r="T17" s="9">
        <v>0</v>
      </c>
      <c r="U17" s="9" t="s">
        <v>42</v>
      </c>
      <c r="V17" s="9">
        <v>0</v>
      </c>
      <c r="W17" s="11" t="s">
        <v>42</v>
      </c>
      <c r="X17" s="9" t="s">
        <v>43</v>
      </c>
      <c r="Y17" s="9">
        <v>0</v>
      </c>
      <c r="Z17" s="9"/>
      <c r="AA17" s="9"/>
      <c r="AB17" s="11">
        <f t="shared" si="1"/>
        <v>0</v>
      </c>
      <c r="AC17" s="11">
        <f t="shared" si="2"/>
        <v>0</v>
      </c>
      <c r="AD17" s="15">
        <v>0</v>
      </c>
      <c r="AE17" s="18">
        <f t="shared" si="3"/>
        <v>0</v>
      </c>
      <c r="AF17" s="11" t="str">
        <f t="shared" si="4"/>
        <v>Low</v>
      </c>
      <c r="AG17" s="9"/>
      <c r="AH17" s="22"/>
      <c r="AI17" s="22" t="str">
        <f t="shared" si="0"/>
        <v>Release</v>
      </c>
      <c r="AJ17" s="22"/>
      <c r="AK17" s="9"/>
    </row>
    <row r="18" spans="1:37" ht="60" hidden="1" customHeight="1">
      <c r="A18" s="9" t="s">
        <v>105</v>
      </c>
      <c r="B18" s="9" t="s">
        <v>34</v>
      </c>
      <c r="C18" s="9" t="s">
        <v>52</v>
      </c>
      <c r="D18" s="9" t="s">
        <v>106</v>
      </c>
      <c r="E18" s="9" t="s">
        <v>111</v>
      </c>
      <c r="F18" s="9" t="s">
        <v>112</v>
      </c>
      <c r="G18" s="9" t="s">
        <v>106</v>
      </c>
      <c r="H18" s="9" t="s">
        <v>113</v>
      </c>
      <c r="I18" s="9" t="s">
        <v>114</v>
      </c>
      <c r="J18" s="11" t="s">
        <v>41</v>
      </c>
      <c r="K18" s="11">
        <v>20</v>
      </c>
      <c r="L18" s="11" t="s">
        <v>42</v>
      </c>
      <c r="M18" s="9">
        <v>0</v>
      </c>
      <c r="N18" s="9" t="s">
        <v>106</v>
      </c>
      <c r="O18" s="9" t="s">
        <v>113</v>
      </c>
      <c r="P18" s="9" t="s">
        <v>114</v>
      </c>
      <c r="Q18" s="11" t="s">
        <v>41</v>
      </c>
      <c r="R18" s="11">
        <v>20</v>
      </c>
      <c r="S18" s="11" t="s">
        <v>42</v>
      </c>
      <c r="T18" s="9">
        <v>0</v>
      </c>
      <c r="U18" s="9" t="s">
        <v>42</v>
      </c>
      <c r="V18" s="9">
        <v>0</v>
      </c>
      <c r="W18" s="11" t="s">
        <v>42</v>
      </c>
      <c r="X18" s="9" t="s">
        <v>43</v>
      </c>
      <c r="Y18" s="9">
        <v>0</v>
      </c>
      <c r="Z18" s="9"/>
      <c r="AA18" s="9"/>
      <c r="AB18" s="11">
        <f t="shared" si="1"/>
        <v>0</v>
      </c>
      <c r="AC18" s="11">
        <f t="shared" si="2"/>
        <v>0</v>
      </c>
      <c r="AD18" s="15">
        <v>0</v>
      </c>
      <c r="AE18" s="18">
        <f t="shared" si="3"/>
        <v>0</v>
      </c>
      <c r="AF18" s="11" t="str">
        <f t="shared" si="4"/>
        <v>Low</v>
      </c>
      <c r="AG18" s="9"/>
      <c r="AH18" s="22"/>
      <c r="AI18" s="22" t="str">
        <f t="shared" si="0"/>
        <v>Release</v>
      </c>
      <c r="AJ18" s="22"/>
      <c r="AK18" s="9"/>
    </row>
    <row r="19" spans="1:37" ht="60" hidden="1" customHeight="1">
      <c r="A19" s="9" t="s">
        <v>105</v>
      </c>
      <c r="B19" s="9" t="s">
        <v>34</v>
      </c>
      <c r="C19" s="9" t="s">
        <v>35</v>
      </c>
      <c r="D19" s="9" t="s">
        <v>106</v>
      </c>
      <c r="E19" s="9" t="s">
        <v>115</v>
      </c>
      <c r="F19" s="9" t="s">
        <v>116</v>
      </c>
      <c r="G19" s="9" t="s">
        <v>106</v>
      </c>
      <c r="H19" s="9" t="s">
        <v>117</v>
      </c>
      <c r="I19" s="9" t="s">
        <v>118</v>
      </c>
      <c r="J19" s="11" t="s">
        <v>41</v>
      </c>
      <c r="K19" s="11">
        <v>19</v>
      </c>
      <c r="L19" s="11" t="s">
        <v>42</v>
      </c>
      <c r="M19" s="9">
        <v>0</v>
      </c>
      <c r="N19" s="9" t="s">
        <v>106</v>
      </c>
      <c r="O19" s="9" t="s">
        <v>117</v>
      </c>
      <c r="P19" s="9" t="s">
        <v>118</v>
      </c>
      <c r="Q19" s="11" t="s">
        <v>41</v>
      </c>
      <c r="R19" s="11">
        <v>19</v>
      </c>
      <c r="S19" s="11" t="s">
        <v>42</v>
      </c>
      <c r="T19" s="9">
        <v>0</v>
      </c>
      <c r="U19" s="9" t="s">
        <v>42</v>
      </c>
      <c r="V19" s="9">
        <v>0</v>
      </c>
      <c r="W19" s="11" t="s">
        <v>42</v>
      </c>
      <c r="X19" s="9" t="s">
        <v>43</v>
      </c>
      <c r="Y19" s="9">
        <v>0</v>
      </c>
      <c r="Z19" s="9"/>
      <c r="AA19" s="9"/>
      <c r="AB19" s="11">
        <f t="shared" si="1"/>
        <v>0</v>
      </c>
      <c r="AC19" s="11">
        <f t="shared" si="2"/>
        <v>0</v>
      </c>
      <c r="AD19" s="15">
        <v>0</v>
      </c>
      <c r="AE19" s="18">
        <f t="shared" si="3"/>
        <v>0</v>
      </c>
      <c r="AF19" s="11" t="str">
        <f t="shared" si="4"/>
        <v>Low</v>
      </c>
      <c r="AG19" s="9"/>
      <c r="AH19" s="22"/>
      <c r="AI19" s="22" t="str">
        <f t="shared" si="0"/>
        <v>Release</v>
      </c>
      <c r="AJ19" s="22"/>
      <c r="AK19" s="9"/>
    </row>
    <row r="20" spans="1:37" ht="60" hidden="1" customHeight="1">
      <c r="A20" s="9" t="s">
        <v>105</v>
      </c>
      <c r="B20" s="9" t="s">
        <v>34</v>
      </c>
      <c r="C20" s="9" t="s">
        <v>52</v>
      </c>
      <c r="D20" s="9" t="s">
        <v>106</v>
      </c>
      <c r="E20" s="9" t="s">
        <v>119</v>
      </c>
      <c r="F20" s="9" t="s">
        <v>120</v>
      </c>
      <c r="G20" s="9" t="s">
        <v>106</v>
      </c>
      <c r="H20" s="9" t="s">
        <v>109</v>
      </c>
      <c r="I20" s="9" t="s">
        <v>110</v>
      </c>
      <c r="J20" s="11" t="s">
        <v>41</v>
      </c>
      <c r="K20" s="11">
        <v>20</v>
      </c>
      <c r="L20" s="11" t="s">
        <v>42</v>
      </c>
      <c r="M20" s="9">
        <v>0</v>
      </c>
      <c r="N20" s="9" t="s">
        <v>106</v>
      </c>
      <c r="O20" s="9" t="s">
        <v>109</v>
      </c>
      <c r="P20" s="9" t="s">
        <v>110</v>
      </c>
      <c r="Q20" s="11" t="s">
        <v>41</v>
      </c>
      <c r="R20" s="11">
        <v>20</v>
      </c>
      <c r="S20" s="11" t="s">
        <v>42</v>
      </c>
      <c r="T20" s="9">
        <v>0</v>
      </c>
      <c r="U20" s="9" t="s">
        <v>42</v>
      </c>
      <c r="V20" s="9">
        <v>0</v>
      </c>
      <c r="W20" s="11" t="s">
        <v>42</v>
      </c>
      <c r="X20" s="9" t="s">
        <v>43</v>
      </c>
      <c r="Y20" s="9">
        <v>0</v>
      </c>
      <c r="Z20" s="9"/>
      <c r="AA20" s="9"/>
      <c r="AB20" s="11">
        <f t="shared" si="1"/>
        <v>0</v>
      </c>
      <c r="AC20" s="11">
        <f t="shared" si="2"/>
        <v>0</v>
      </c>
      <c r="AD20" s="15">
        <v>0</v>
      </c>
      <c r="AE20" s="18">
        <f t="shared" si="3"/>
        <v>0</v>
      </c>
      <c r="AF20" s="11" t="str">
        <f t="shared" si="4"/>
        <v>Low</v>
      </c>
      <c r="AG20" s="9"/>
      <c r="AH20" s="22"/>
      <c r="AI20" s="22" t="str">
        <f t="shared" si="0"/>
        <v>Release</v>
      </c>
      <c r="AJ20" s="22"/>
      <c r="AK20" s="9"/>
    </row>
    <row r="21" spans="1:37" ht="60" hidden="1" customHeight="1">
      <c r="A21" s="9" t="s">
        <v>105</v>
      </c>
      <c r="B21" s="9" t="s">
        <v>34</v>
      </c>
      <c r="C21" s="9" t="s">
        <v>35</v>
      </c>
      <c r="D21" s="9" t="s">
        <v>106</v>
      </c>
      <c r="E21" s="9" t="s">
        <v>121</v>
      </c>
      <c r="F21" s="9" t="s">
        <v>122</v>
      </c>
      <c r="G21" s="9" t="s">
        <v>106</v>
      </c>
      <c r="H21" s="9" t="s">
        <v>113</v>
      </c>
      <c r="I21" s="9" t="s">
        <v>114</v>
      </c>
      <c r="J21" s="11" t="s">
        <v>41</v>
      </c>
      <c r="K21" s="11">
        <v>19</v>
      </c>
      <c r="L21" s="11" t="s">
        <v>42</v>
      </c>
      <c r="M21" s="9">
        <v>0</v>
      </c>
      <c r="N21" s="9" t="s">
        <v>106</v>
      </c>
      <c r="O21" s="9" t="s">
        <v>113</v>
      </c>
      <c r="P21" s="9" t="s">
        <v>114</v>
      </c>
      <c r="Q21" s="11" t="s">
        <v>41</v>
      </c>
      <c r="R21" s="11">
        <v>19</v>
      </c>
      <c r="S21" s="11" t="s">
        <v>42</v>
      </c>
      <c r="T21" s="9">
        <v>0</v>
      </c>
      <c r="U21" s="9" t="s">
        <v>42</v>
      </c>
      <c r="V21" s="9">
        <v>0</v>
      </c>
      <c r="W21" s="11" t="s">
        <v>42</v>
      </c>
      <c r="X21" s="9" t="s">
        <v>43</v>
      </c>
      <c r="Y21" s="9">
        <v>0</v>
      </c>
      <c r="Z21" s="9"/>
      <c r="AA21" s="9"/>
      <c r="AB21" s="11">
        <f t="shared" si="1"/>
        <v>0</v>
      </c>
      <c r="AC21" s="11">
        <f t="shared" si="2"/>
        <v>0</v>
      </c>
      <c r="AD21" s="15">
        <v>0</v>
      </c>
      <c r="AE21" s="18">
        <f t="shared" si="3"/>
        <v>0</v>
      </c>
      <c r="AF21" s="11" t="str">
        <f t="shared" si="4"/>
        <v>Low</v>
      </c>
      <c r="AG21" s="9"/>
      <c r="AH21" s="22"/>
      <c r="AI21" s="22" t="str">
        <f t="shared" si="0"/>
        <v>Release</v>
      </c>
      <c r="AJ21" s="22"/>
      <c r="AK21" s="9"/>
    </row>
    <row r="22" spans="1:37" ht="60" hidden="1" customHeight="1">
      <c r="A22" s="9" t="s">
        <v>105</v>
      </c>
      <c r="B22" s="9" t="s">
        <v>34</v>
      </c>
      <c r="C22" s="9" t="s">
        <v>52</v>
      </c>
      <c r="D22" s="9" t="s">
        <v>106</v>
      </c>
      <c r="E22" s="9" t="s">
        <v>123</v>
      </c>
      <c r="F22" s="9" t="s">
        <v>124</v>
      </c>
      <c r="G22" s="9" t="s">
        <v>106</v>
      </c>
      <c r="H22" s="9" t="s">
        <v>117</v>
      </c>
      <c r="I22" s="9" t="s">
        <v>118</v>
      </c>
      <c r="J22" s="11" t="s">
        <v>41</v>
      </c>
      <c r="K22" s="11">
        <v>20</v>
      </c>
      <c r="L22" s="11" t="s">
        <v>42</v>
      </c>
      <c r="M22" s="9">
        <v>0</v>
      </c>
      <c r="N22" s="9" t="s">
        <v>106</v>
      </c>
      <c r="O22" s="9" t="s">
        <v>117</v>
      </c>
      <c r="P22" s="9" t="s">
        <v>118</v>
      </c>
      <c r="Q22" s="11" t="s">
        <v>41</v>
      </c>
      <c r="R22" s="11">
        <v>20</v>
      </c>
      <c r="S22" s="11" t="s">
        <v>42</v>
      </c>
      <c r="T22" s="9">
        <v>0</v>
      </c>
      <c r="U22" s="9" t="s">
        <v>42</v>
      </c>
      <c r="V22" s="9">
        <v>0</v>
      </c>
      <c r="W22" s="11" t="s">
        <v>42</v>
      </c>
      <c r="X22" s="9" t="s">
        <v>43</v>
      </c>
      <c r="Y22" s="9">
        <v>0</v>
      </c>
      <c r="Z22" s="9"/>
      <c r="AA22" s="9"/>
      <c r="AB22" s="11">
        <f t="shared" si="1"/>
        <v>0</v>
      </c>
      <c r="AC22" s="11">
        <f t="shared" si="2"/>
        <v>0</v>
      </c>
      <c r="AD22" s="15">
        <v>0</v>
      </c>
      <c r="AE22" s="18">
        <f t="shared" si="3"/>
        <v>0</v>
      </c>
      <c r="AF22" s="11" t="str">
        <f t="shared" si="4"/>
        <v>Low</v>
      </c>
      <c r="AG22" s="9"/>
      <c r="AH22" s="22"/>
      <c r="AI22" s="22" t="str">
        <f t="shared" si="0"/>
        <v>Release</v>
      </c>
      <c r="AJ22" s="22"/>
      <c r="AK22" s="9"/>
    </row>
    <row r="23" spans="1:37" ht="60" hidden="1" customHeight="1">
      <c r="A23" s="9" t="s">
        <v>105</v>
      </c>
      <c r="B23" s="9" t="s">
        <v>34</v>
      </c>
      <c r="C23" s="9" t="s">
        <v>35</v>
      </c>
      <c r="D23" s="9" t="s">
        <v>106</v>
      </c>
      <c r="E23" s="9" t="s">
        <v>125</v>
      </c>
      <c r="F23" s="9" t="s">
        <v>126</v>
      </c>
      <c r="G23" s="9" t="s">
        <v>106</v>
      </c>
      <c r="H23" s="9" t="s">
        <v>127</v>
      </c>
      <c r="I23" s="9" t="s">
        <v>128</v>
      </c>
      <c r="J23" s="11" t="s">
        <v>57</v>
      </c>
      <c r="K23" s="11">
        <v>7</v>
      </c>
      <c r="L23" s="11" t="s">
        <v>42</v>
      </c>
      <c r="M23" s="9">
        <v>15</v>
      </c>
      <c r="N23" s="9" t="s">
        <v>106</v>
      </c>
      <c r="O23" s="9" t="s">
        <v>127</v>
      </c>
      <c r="P23" s="9" t="s">
        <v>128</v>
      </c>
      <c r="Q23" s="11" t="s">
        <v>57</v>
      </c>
      <c r="R23" s="11">
        <v>7</v>
      </c>
      <c r="S23" s="11" t="s">
        <v>43</v>
      </c>
      <c r="T23" s="9">
        <v>60</v>
      </c>
      <c r="U23" s="9" t="s">
        <v>42</v>
      </c>
      <c r="V23" s="9">
        <v>0</v>
      </c>
      <c r="W23" s="11" t="s">
        <v>42</v>
      </c>
      <c r="X23" s="9" t="s">
        <v>43</v>
      </c>
      <c r="Y23" s="9">
        <v>1</v>
      </c>
      <c r="Z23" s="9" t="s">
        <v>71</v>
      </c>
      <c r="AA23" s="9" t="s">
        <v>129</v>
      </c>
      <c r="AB23" s="11">
        <f t="shared" si="1"/>
        <v>0</v>
      </c>
      <c r="AC23" s="11">
        <f t="shared" si="2"/>
        <v>60</v>
      </c>
      <c r="AD23" s="15">
        <v>0.44</v>
      </c>
      <c r="AE23" s="18">
        <f t="shared" si="3"/>
        <v>60</v>
      </c>
      <c r="AF23" s="11" t="str">
        <f t="shared" si="4"/>
        <v>Medium</v>
      </c>
      <c r="AG23" s="9" t="s">
        <v>130</v>
      </c>
      <c r="AH23" s="22" t="s">
        <v>696</v>
      </c>
      <c r="AI23" s="22" t="str">
        <f t="shared" si="0"/>
        <v>Investigate</v>
      </c>
      <c r="AJ23" s="22" t="s">
        <v>702</v>
      </c>
      <c r="AK23" s="9" t="s">
        <v>131</v>
      </c>
    </row>
    <row r="24" spans="1:37" ht="60" hidden="1" customHeight="1">
      <c r="A24" s="9" t="s">
        <v>132</v>
      </c>
      <c r="B24" s="9" t="s">
        <v>34</v>
      </c>
      <c r="C24" s="9" t="s">
        <v>35</v>
      </c>
      <c r="D24" s="9" t="s">
        <v>133</v>
      </c>
      <c r="E24" s="9" t="s">
        <v>134</v>
      </c>
      <c r="F24" s="9" t="s">
        <v>135</v>
      </c>
      <c r="G24" s="9" t="s">
        <v>133</v>
      </c>
      <c r="H24" s="9" t="s">
        <v>136</v>
      </c>
      <c r="I24" s="9" t="s">
        <v>137</v>
      </c>
      <c r="J24" s="11" t="s">
        <v>57</v>
      </c>
      <c r="K24" s="11">
        <v>7</v>
      </c>
      <c r="L24" s="11" t="s">
        <v>42</v>
      </c>
      <c r="M24" s="9">
        <v>0</v>
      </c>
      <c r="N24" s="9" t="s">
        <v>133</v>
      </c>
      <c r="O24" s="9" t="s">
        <v>136</v>
      </c>
      <c r="P24" s="9" t="s">
        <v>137</v>
      </c>
      <c r="Q24" s="11" t="s">
        <v>57</v>
      </c>
      <c r="R24" s="11">
        <v>7</v>
      </c>
      <c r="S24" s="11" t="s">
        <v>42</v>
      </c>
      <c r="T24" s="9">
        <v>0</v>
      </c>
      <c r="U24" s="9" t="s">
        <v>42</v>
      </c>
      <c r="V24" s="9">
        <v>0</v>
      </c>
      <c r="W24" s="11" t="s">
        <v>42</v>
      </c>
      <c r="X24" s="9" t="s">
        <v>43</v>
      </c>
      <c r="Y24" s="9">
        <v>0</v>
      </c>
      <c r="Z24" s="9"/>
      <c r="AA24" s="9"/>
      <c r="AB24" s="11">
        <f t="shared" si="1"/>
        <v>0</v>
      </c>
      <c r="AC24" s="11">
        <f t="shared" si="2"/>
        <v>0</v>
      </c>
      <c r="AD24" s="15">
        <v>0</v>
      </c>
      <c r="AE24" s="18">
        <f t="shared" si="3"/>
        <v>0</v>
      </c>
      <c r="AF24" s="11" t="str">
        <f t="shared" si="4"/>
        <v>Low</v>
      </c>
      <c r="AG24" s="9"/>
      <c r="AH24" s="22"/>
      <c r="AI24" s="22" t="str">
        <f t="shared" si="0"/>
        <v>Release</v>
      </c>
      <c r="AJ24" s="22"/>
      <c r="AK24" s="9"/>
    </row>
    <row r="25" spans="1:37" ht="60" hidden="1" customHeight="1">
      <c r="A25" s="9" t="s">
        <v>132</v>
      </c>
      <c r="B25" s="9" t="s">
        <v>34</v>
      </c>
      <c r="C25" s="9" t="s">
        <v>52</v>
      </c>
      <c r="D25" s="9" t="s">
        <v>133</v>
      </c>
      <c r="E25" s="9" t="s">
        <v>138</v>
      </c>
      <c r="F25" s="9" t="s">
        <v>139</v>
      </c>
      <c r="G25" s="9" t="s">
        <v>133</v>
      </c>
      <c r="H25" s="9" t="s">
        <v>140</v>
      </c>
      <c r="I25" s="9" t="s">
        <v>141</v>
      </c>
      <c r="J25" s="11" t="s">
        <v>57</v>
      </c>
      <c r="K25" s="11">
        <v>5.5</v>
      </c>
      <c r="L25" s="11" t="s">
        <v>42</v>
      </c>
      <c r="M25" s="9">
        <v>0</v>
      </c>
      <c r="N25" s="9" t="s">
        <v>133</v>
      </c>
      <c r="O25" s="9" t="s">
        <v>140</v>
      </c>
      <c r="P25" s="9" t="s">
        <v>141</v>
      </c>
      <c r="Q25" s="11" t="s">
        <v>57</v>
      </c>
      <c r="R25" s="11">
        <v>5.5</v>
      </c>
      <c r="S25" s="11" t="s">
        <v>42</v>
      </c>
      <c r="T25" s="9">
        <v>0</v>
      </c>
      <c r="U25" s="9" t="s">
        <v>42</v>
      </c>
      <c r="V25" s="9">
        <v>0</v>
      </c>
      <c r="W25" s="11" t="s">
        <v>42</v>
      </c>
      <c r="X25" s="9" t="s">
        <v>43</v>
      </c>
      <c r="Y25" s="9">
        <v>0</v>
      </c>
      <c r="Z25" s="9"/>
      <c r="AA25" s="9"/>
      <c r="AB25" s="11">
        <f t="shared" si="1"/>
        <v>0</v>
      </c>
      <c r="AC25" s="11">
        <f t="shared" si="2"/>
        <v>0</v>
      </c>
      <c r="AD25" s="15">
        <v>0</v>
      </c>
      <c r="AE25" s="18">
        <f t="shared" si="3"/>
        <v>0</v>
      </c>
      <c r="AF25" s="11" t="str">
        <f t="shared" si="4"/>
        <v>Low</v>
      </c>
      <c r="AG25" s="9"/>
      <c r="AH25" s="22"/>
      <c r="AI25" s="22" t="str">
        <f t="shared" si="0"/>
        <v>Release</v>
      </c>
      <c r="AJ25" s="22"/>
      <c r="AK25" s="9"/>
    </row>
    <row r="26" spans="1:37" ht="60" hidden="1" customHeight="1">
      <c r="A26" s="9" t="s">
        <v>132</v>
      </c>
      <c r="B26" s="9" t="s">
        <v>34</v>
      </c>
      <c r="C26" s="9" t="s">
        <v>35</v>
      </c>
      <c r="D26" s="9" t="s">
        <v>142</v>
      </c>
      <c r="E26" s="9" t="s">
        <v>143</v>
      </c>
      <c r="F26" s="9" t="s">
        <v>144</v>
      </c>
      <c r="G26" s="9" t="s">
        <v>142</v>
      </c>
      <c r="H26" s="9" t="s">
        <v>145</v>
      </c>
      <c r="I26" s="9" t="s">
        <v>146</v>
      </c>
      <c r="J26" s="11" t="s">
        <v>57</v>
      </c>
      <c r="K26" s="11">
        <v>7</v>
      </c>
      <c r="L26" s="11" t="s">
        <v>42</v>
      </c>
      <c r="M26" s="9">
        <v>0</v>
      </c>
      <c r="N26" s="9" t="s">
        <v>142</v>
      </c>
      <c r="O26" s="9" t="s">
        <v>145</v>
      </c>
      <c r="P26" s="9" t="s">
        <v>146</v>
      </c>
      <c r="Q26" s="11" t="s">
        <v>57</v>
      </c>
      <c r="R26" s="11">
        <v>7</v>
      </c>
      <c r="S26" s="11" t="s">
        <v>42</v>
      </c>
      <c r="T26" s="9">
        <v>0</v>
      </c>
      <c r="U26" s="9" t="s">
        <v>42</v>
      </c>
      <c r="V26" s="9">
        <v>0</v>
      </c>
      <c r="W26" s="11" t="s">
        <v>42</v>
      </c>
      <c r="X26" s="9" t="s">
        <v>43</v>
      </c>
      <c r="Y26" s="9">
        <v>0</v>
      </c>
      <c r="Z26" s="9"/>
      <c r="AA26" s="9"/>
      <c r="AB26" s="11">
        <f t="shared" si="1"/>
        <v>0</v>
      </c>
      <c r="AC26" s="11">
        <f t="shared" si="2"/>
        <v>0</v>
      </c>
      <c r="AD26" s="15">
        <v>0</v>
      </c>
      <c r="AE26" s="18">
        <f t="shared" si="3"/>
        <v>0</v>
      </c>
      <c r="AF26" s="11" t="str">
        <f t="shared" si="4"/>
        <v>Low</v>
      </c>
      <c r="AG26" s="9"/>
      <c r="AH26" s="22"/>
      <c r="AI26" s="22" t="str">
        <f t="shared" si="0"/>
        <v>Release</v>
      </c>
      <c r="AJ26" s="22"/>
      <c r="AK26" s="9"/>
    </row>
    <row r="27" spans="1:37" ht="60" hidden="1" customHeight="1">
      <c r="A27" s="9" t="s">
        <v>132</v>
      </c>
      <c r="B27" s="9" t="s">
        <v>34</v>
      </c>
      <c r="C27" s="9" t="s">
        <v>52</v>
      </c>
      <c r="D27" s="9" t="s">
        <v>133</v>
      </c>
      <c r="E27" s="9" t="s">
        <v>147</v>
      </c>
      <c r="F27" s="9" t="s">
        <v>148</v>
      </c>
      <c r="G27" s="9" t="s">
        <v>133</v>
      </c>
      <c r="H27" s="9" t="s">
        <v>136</v>
      </c>
      <c r="I27" s="9" t="s">
        <v>137</v>
      </c>
      <c r="J27" s="11" t="s">
        <v>57</v>
      </c>
      <c r="K27" s="11">
        <v>5.5</v>
      </c>
      <c r="L27" s="11" t="s">
        <v>42</v>
      </c>
      <c r="M27" s="9">
        <v>0</v>
      </c>
      <c r="N27" s="9" t="s">
        <v>133</v>
      </c>
      <c r="O27" s="9" t="s">
        <v>136</v>
      </c>
      <c r="P27" s="9" t="s">
        <v>137</v>
      </c>
      <c r="Q27" s="11" t="s">
        <v>57</v>
      </c>
      <c r="R27" s="11">
        <v>5.5</v>
      </c>
      <c r="S27" s="11" t="s">
        <v>42</v>
      </c>
      <c r="T27" s="9">
        <v>0</v>
      </c>
      <c r="U27" s="9" t="s">
        <v>42</v>
      </c>
      <c r="V27" s="9">
        <v>0</v>
      </c>
      <c r="W27" s="11" t="s">
        <v>42</v>
      </c>
      <c r="X27" s="9" t="s">
        <v>43</v>
      </c>
      <c r="Y27" s="9">
        <v>0</v>
      </c>
      <c r="Z27" s="9"/>
      <c r="AA27" s="9"/>
      <c r="AB27" s="11">
        <f t="shared" si="1"/>
        <v>0</v>
      </c>
      <c r="AC27" s="11">
        <f t="shared" si="2"/>
        <v>0</v>
      </c>
      <c r="AD27" s="15">
        <v>0</v>
      </c>
      <c r="AE27" s="18">
        <f t="shared" si="3"/>
        <v>0</v>
      </c>
      <c r="AF27" s="11" t="str">
        <f t="shared" si="4"/>
        <v>Low</v>
      </c>
      <c r="AG27" s="9"/>
      <c r="AH27" s="22"/>
      <c r="AI27" s="22" t="str">
        <f t="shared" si="0"/>
        <v>Release</v>
      </c>
      <c r="AJ27" s="22"/>
      <c r="AK27" s="9"/>
    </row>
    <row r="28" spans="1:37" ht="60" hidden="1" customHeight="1">
      <c r="A28" s="9" t="s">
        <v>132</v>
      </c>
      <c r="B28" s="9" t="s">
        <v>34</v>
      </c>
      <c r="C28" s="9" t="s">
        <v>52</v>
      </c>
      <c r="D28" s="9" t="s">
        <v>80</v>
      </c>
      <c r="E28" s="9" t="s">
        <v>149</v>
      </c>
      <c r="F28" s="9" t="s">
        <v>150</v>
      </c>
      <c r="G28" s="9" t="s">
        <v>80</v>
      </c>
      <c r="H28" s="9" t="s">
        <v>151</v>
      </c>
      <c r="I28" s="9" t="s">
        <v>152</v>
      </c>
      <c r="J28" s="11" t="s">
        <v>153</v>
      </c>
      <c r="K28" s="11">
        <v>2.1</v>
      </c>
      <c r="L28" s="11" t="s">
        <v>43</v>
      </c>
      <c r="M28" s="9">
        <v>75</v>
      </c>
      <c r="N28" s="9" t="s">
        <v>133</v>
      </c>
      <c r="O28" s="9" t="s">
        <v>136</v>
      </c>
      <c r="P28" s="9" t="s">
        <v>137</v>
      </c>
      <c r="Q28" s="11" t="s">
        <v>57</v>
      </c>
      <c r="R28" s="11">
        <v>5.5</v>
      </c>
      <c r="S28" s="11" t="s">
        <v>42</v>
      </c>
      <c r="T28" s="11">
        <v>0</v>
      </c>
      <c r="U28" s="9" t="s">
        <v>42</v>
      </c>
      <c r="V28" s="9">
        <v>0</v>
      </c>
      <c r="W28" s="11" t="s">
        <v>42</v>
      </c>
      <c r="X28" s="9" t="s">
        <v>42</v>
      </c>
      <c r="Y28" s="9">
        <v>1</v>
      </c>
      <c r="Z28" s="9" t="s">
        <v>58</v>
      </c>
      <c r="AA28" s="9" t="s">
        <v>154</v>
      </c>
      <c r="AB28" s="11">
        <f t="shared" si="1"/>
        <v>3.4</v>
      </c>
      <c r="AC28" s="11">
        <f t="shared" si="2"/>
        <v>75</v>
      </c>
      <c r="AD28" s="15">
        <v>0.75</v>
      </c>
      <c r="AE28" s="18">
        <f t="shared" si="3"/>
        <v>75</v>
      </c>
      <c r="AF28" s="11" t="str">
        <f t="shared" si="4"/>
        <v>Medium</v>
      </c>
      <c r="AG28" s="9" t="s">
        <v>155</v>
      </c>
      <c r="AH28" s="23" t="s">
        <v>703</v>
      </c>
      <c r="AI28" s="22" t="str">
        <f t="shared" si="0"/>
        <v>Investigate</v>
      </c>
      <c r="AJ28" s="22" t="s">
        <v>61</v>
      </c>
      <c r="AK28" s="9" t="s">
        <v>156</v>
      </c>
    </row>
    <row r="29" spans="1:37" ht="60" hidden="1" customHeight="1">
      <c r="A29" s="9" t="s">
        <v>132</v>
      </c>
      <c r="B29" s="9" t="s">
        <v>34</v>
      </c>
      <c r="C29" s="9" t="s">
        <v>35</v>
      </c>
      <c r="D29" s="9" t="s">
        <v>133</v>
      </c>
      <c r="E29" s="9" t="s">
        <v>157</v>
      </c>
      <c r="F29" s="9" t="s">
        <v>158</v>
      </c>
      <c r="G29" s="9" t="s">
        <v>133</v>
      </c>
      <c r="H29" s="9" t="s">
        <v>140</v>
      </c>
      <c r="I29" s="9" t="s">
        <v>141</v>
      </c>
      <c r="J29" s="11" t="s">
        <v>57</v>
      </c>
      <c r="K29" s="11">
        <v>7</v>
      </c>
      <c r="L29" s="11" t="s">
        <v>42</v>
      </c>
      <c r="M29" s="9">
        <v>0</v>
      </c>
      <c r="N29" s="9" t="s">
        <v>133</v>
      </c>
      <c r="O29" s="9" t="s">
        <v>140</v>
      </c>
      <c r="P29" s="9" t="s">
        <v>141</v>
      </c>
      <c r="Q29" s="11" t="s">
        <v>57</v>
      </c>
      <c r="R29" s="11">
        <v>7</v>
      </c>
      <c r="S29" s="11" t="s">
        <v>42</v>
      </c>
      <c r="T29" s="9">
        <v>0</v>
      </c>
      <c r="U29" s="9" t="s">
        <v>42</v>
      </c>
      <c r="V29" s="9">
        <v>0</v>
      </c>
      <c r="W29" s="11" t="s">
        <v>42</v>
      </c>
      <c r="X29" s="9" t="s">
        <v>43</v>
      </c>
      <c r="Y29" s="9">
        <v>0</v>
      </c>
      <c r="Z29" s="9"/>
      <c r="AA29" s="9"/>
      <c r="AB29" s="11">
        <f t="shared" si="1"/>
        <v>0</v>
      </c>
      <c r="AC29" s="11">
        <f t="shared" si="2"/>
        <v>0</v>
      </c>
      <c r="AD29" s="15">
        <v>0</v>
      </c>
      <c r="AE29" s="18">
        <f t="shared" si="3"/>
        <v>0</v>
      </c>
      <c r="AF29" s="11" t="str">
        <f t="shared" si="4"/>
        <v>Low</v>
      </c>
      <c r="AG29" s="9"/>
      <c r="AH29" s="22"/>
      <c r="AI29" s="22" t="str">
        <f t="shared" si="0"/>
        <v>Release</v>
      </c>
      <c r="AJ29" s="22"/>
      <c r="AK29" s="9"/>
    </row>
    <row r="30" spans="1:37" ht="60" hidden="1" customHeight="1">
      <c r="A30" s="9" t="s">
        <v>132</v>
      </c>
      <c r="B30" s="9" t="s">
        <v>34</v>
      </c>
      <c r="C30" s="9" t="s">
        <v>35</v>
      </c>
      <c r="D30" s="9" t="s">
        <v>133</v>
      </c>
      <c r="E30" s="9" t="s">
        <v>159</v>
      </c>
      <c r="F30" s="9" t="s">
        <v>160</v>
      </c>
      <c r="G30" s="9" t="s">
        <v>133</v>
      </c>
      <c r="H30" s="9" t="s">
        <v>136</v>
      </c>
      <c r="I30" s="9" t="s">
        <v>137</v>
      </c>
      <c r="J30" s="11" t="s">
        <v>57</v>
      </c>
      <c r="K30" s="11">
        <v>7</v>
      </c>
      <c r="L30" s="11" t="s">
        <v>42</v>
      </c>
      <c r="M30" s="9">
        <v>51</v>
      </c>
      <c r="N30" s="9" t="s">
        <v>133</v>
      </c>
      <c r="O30" s="9" t="s">
        <v>136</v>
      </c>
      <c r="P30" s="9" t="s">
        <v>137</v>
      </c>
      <c r="Q30" s="11" t="s">
        <v>57</v>
      </c>
      <c r="R30" s="11">
        <v>7</v>
      </c>
      <c r="S30" s="11" t="s">
        <v>43</v>
      </c>
      <c r="T30" s="9">
        <v>60</v>
      </c>
      <c r="U30" s="9" t="s">
        <v>42</v>
      </c>
      <c r="V30" s="9">
        <v>0</v>
      </c>
      <c r="W30" s="11" t="s">
        <v>42</v>
      </c>
      <c r="X30" s="9" t="s">
        <v>43</v>
      </c>
      <c r="Y30" s="9">
        <v>1</v>
      </c>
      <c r="Z30" s="9" t="s">
        <v>71</v>
      </c>
      <c r="AA30" s="9" t="s">
        <v>161</v>
      </c>
      <c r="AB30" s="11">
        <f t="shared" si="1"/>
        <v>0</v>
      </c>
      <c r="AC30" s="11">
        <f t="shared" si="2"/>
        <v>60</v>
      </c>
      <c r="AD30" s="15">
        <v>0.44</v>
      </c>
      <c r="AE30" s="18">
        <f t="shared" si="3"/>
        <v>60</v>
      </c>
      <c r="AF30" s="11" t="str">
        <f t="shared" si="4"/>
        <v>Medium</v>
      </c>
      <c r="AG30" s="9" t="s">
        <v>162</v>
      </c>
      <c r="AH30" s="22" t="s">
        <v>701</v>
      </c>
      <c r="AI30" s="22" t="str">
        <f t="shared" si="0"/>
        <v>Investigate</v>
      </c>
      <c r="AJ30" s="22" t="s">
        <v>702</v>
      </c>
      <c r="AK30" s="9" t="s">
        <v>163</v>
      </c>
    </row>
    <row r="31" spans="1:37" ht="60" hidden="1" customHeight="1">
      <c r="A31" s="9" t="s">
        <v>164</v>
      </c>
      <c r="B31" s="9" t="s">
        <v>34</v>
      </c>
      <c r="C31" s="9" t="s">
        <v>35</v>
      </c>
      <c r="D31" s="9" t="s">
        <v>165</v>
      </c>
      <c r="E31" s="9" t="s">
        <v>166</v>
      </c>
      <c r="F31" s="9" t="s">
        <v>167</v>
      </c>
      <c r="G31" s="9" t="s">
        <v>165</v>
      </c>
      <c r="H31" s="9" t="s">
        <v>168</v>
      </c>
      <c r="I31" s="9" t="s">
        <v>169</v>
      </c>
      <c r="J31" s="11" t="s">
        <v>41</v>
      </c>
      <c r="K31" s="11">
        <v>19</v>
      </c>
      <c r="L31" s="11" t="s">
        <v>42</v>
      </c>
      <c r="M31" s="9">
        <v>0</v>
      </c>
      <c r="N31" s="9" t="s">
        <v>165</v>
      </c>
      <c r="O31" s="9" t="s">
        <v>168</v>
      </c>
      <c r="P31" s="9" t="s">
        <v>169</v>
      </c>
      <c r="Q31" s="11" t="s">
        <v>41</v>
      </c>
      <c r="R31" s="11">
        <v>19</v>
      </c>
      <c r="S31" s="11" t="s">
        <v>42</v>
      </c>
      <c r="T31" s="9">
        <v>0</v>
      </c>
      <c r="U31" s="9" t="s">
        <v>42</v>
      </c>
      <c r="V31" s="9">
        <v>0</v>
      </c>
      <c r="W31" s="11" t="s">
        <v>42</v>
      </c>
      <c r="X31" s="9" t="s">
        <v>43</v>
      </c>
      <c r="Y31" s="9">
        <v>0</v>
      </c>
      <c r="Z31" s="9"/>
      <c r="AA31" s="9"/>
      <c r="AB31" s="11">
        <f t="shared" si="1"/>
        <v>0</v>
      </c>
      <c r="AC31" s="11">
        <f t="shared" si="2"/>
        <v>0</v>
      </c>
      <c r="AD31" s="15">
        <v>0</v>
      </c>
      <c r="AE31" s="18">
        <f t="shared" si="3"/>
        <v>0</v>
      </c>
      <c r="AF31" s="11" t="str">
        <f t="shared" si="4"/>
        <v>Low</v>
      </c>
      <c r="AG31" s="9"/>
      <c r="AH31" s="22"/>
      <c r="AI31" s="22" t="str">
        <f t="shared" si="0"/>
        <v>Release</v>
      </c>
      <c r="AJ31" s="22"/>
      <c r="AK31" s="9"/>
    </row>
    <row r="32" spans="1:37" ht="60" hidden="1" customHeight="1">
      <c r="A32" s="9" t="s">
        <v>164</v>
      </c>
      <c r="B32" s="9" t="s">
        <v>34</v>
      </c>
      <c r="C32" s="9" t="s">
        <v>52</v>
      </c>
      <c r="D32" s="9" t="s">
        <v>165</v>
      </c>
      <c r="E32" s="9" t="s">
        <v>170</v>
      </c>
      <c r="F32" s="9" t="s">
        <v>171</v>
      </c>
      <c r="G32" s="9" t="s">
        <v>165</v>
      </c>
      <c r="H32" s="9" t="s">
        <v>172</v>
      </c>
      <c r="I32" s="9" t="s">
        <v>173</v>
      </c>
      <c r="J32" s="11" t="s">
        <v>41</v>
      </c>
      <c r="K32" s="11">
        <v>20</v>
      </c>
      <c r="L32" s="11" t="s">
        <v>42</v>
      </c>
      <c r="M32" s="9">
        <v>0</v>
      </c>
      <c r="N32" s="9" t="s">
        <v>165</v>
      </c>
      <c r="O32" s="9" t="s">
        <v>172</v>
      </c>
      <c r="P32" s="9" t="s">
        <v>173</v>
      </c>
      <c r="Q32" s="11" t="s">
        <v>41</v>
      </c>
      <c r="R32" s="11">
        <v>20</v>
      </c>
      <c r="S32" s="11" t="s">
        <v>42</v>
      </c>
      <c r="T32" s="9">
        <v>0</v>
      </c>
      <c r="U32" s="9" t="s">
        <v>42</v>
      </c>
      <c r="V32" s="9">
        <v>0</v>
      </c>
      <c r="W32" s="11" t="s">
        <v>42</v>
      </c>
      <c r="X32" s="9" t="s">
        <v>43</v>
      </c>
      <c r="Y32" s="9">
        <v>0</v>
      </c>
      <c r="Z32" s="9"/>
      <c r="AA32" s="9"/>
      <c r="AB32" s="11">
        <f t="shared" si="1"/>
        <v>0</v>
      </c>
      <c r="AC32" s="11">
        <f t="shared" si="2"/>
        <v>0</v>
      </c>
      <c r="AD32" s="15">
        <v>0</v>
      </c>
      <c r="AE32" s="18">
        <f t="shared" si="3"/>
        <v>0</v>
      </c>
      <c r="AF32" s="11" t="str">
        <f t="shared" si="4"/>
        <v>Low</v>
      </c>
      <c r="AG32" s="9"/>
      <c r="AH32" s="22"/>
      <c r="AI32" s="22" t="str">
        <f t="shared" si="0"/>
        <v>Release</v>
      </c>
      <c r="AJ32" s="22"/>
      <c r="AK32" s="9"/>
    </row>
    <row r="33" spans="1:37" ht="60" hidden="1" customHeight="1">
      <c r="A33" s="9" t="s">
        <v>164</v>
      </c>
      <c r="B33" s="9" t="s">
        <v>34</v>
      </c>
      <c r="C33" s="9" t="s">
        <v>35</v>
      </c>
      <c r="D33" s="9" t="s">
        <v>165</v>
      </c>
      <c r="E33" s="9" t="s">
        <v>174</v>
      </c>
      <c r="F33" s="9" t="s">
        <v>175</v>
      </c>
      <c r="G33" s="9" t="s">
        <v>165</v>
      </c>
      <c r="H33" s="9" t="s">
        <v>176</v>
      </c>
      <c r="I33" s="9" t="s">
        <v>177</v>
      </c>
      <c r="J33" s="11" t="s">
        <v>41</v>
      </c>
      <c r="K33" s="11">
        <v>19</v>
      </c>
      <c r="L33" s="11" t="s">
        <v>42</v>
      </c>
      <c r="M33" s="9">
        <v>0</v>
      </c>
      <c r="N33" s="9" t="s">
        <v>165</v>
      </c>
      <c r="O33" s="9" t="s">
        <v>176</v>
      </c>
      <c r="P33" s="9" t="s">
        <v>177</v>
      </c>
      <c r="Q33" s="11" t="s">
        <v>41</v>
      </c>
      <c r="R33" s="11">
        <v>19</v>
      </c>
      <c r="S33" s="11" t="s">
        <v>42</v>
      </c>
      <c r="T33" s="9">
        <v>0</v>
      </c>
      <c r="U33" s="9" t="s">
        <v>42</v>
      </c>
      <c r="V33" s="9">
        <v>0</v>
      </c>
      <c r="W33" s="11" t="s">
        <v>42</v>
      </c>
      <c r="X33" s="9" t="s">
        <v>43</v>
      </c>
      <c r="Y33" s="9">
        <v>0</v>
      </c>
      <c r="Z33" s="9"/>
      <c r="AA33" s="9"/>
      <c r="AB33" s="11">
        <f t="shared" si="1"/>
        <v>0</v>
      </c>
      <c r="AC33" s="11">
        <f t="shared" si="2"/>
        <v>0</v>
      </c>
      <c r="AD33" s="15">
        <v>0</v>
      </c>
      <c r="AE33" s="18">
        <f t="shared" si="3"/>
        <v>0</v>
      </c>
      <c r="AF33" s="11" t="str">
        <f t="shared" si="4"/>
        <v>Low</v>
      </c>
      <c r="AG33" s="9"/>
      <c r="AH33" s="22"/>
      <c r="AI33" s="22" t="str">
        <f t="shared" si="0"/>
        <v>Release</v>
      </c>
      <c r="AJ33" s="22"/>
      <c r="AK33" s="9"/>
    </row>
    <row r="34" spans="1:37" ht="60" hidden="1" customHeight="1">
      <c r="A34" s="9" t="s">
        <v>164</v>
      </c>
      <c r="B34" s="9" t="s">
        <v>34</v>
      </c>
      <c r="C34" s="9" t="s">
        <v>52</v>
      </c>
      <c r="D34" s="9" t="s">
        <v>165</v>
      </c>
      <c r="E34" s="9" t="s">
        <v>178</v>
      </c>
      <c r="F34" s="9" t="s">
        <v>179</v>
      </c>
      <c r="G34" s="9" t="s">
        <v>165</v>
      </c>
      <c r="H34" s="9" t="s">
        <v>168</v>
      </c>
      <c r="I34" s="9" t="s">
        <v>169</v>
      </c>
      <c r="J34" s="11" t="s">
        <v>41</v>
      </c>
      <c r="K34" s="11">
        <v>20</v>
      </c>
      <c r="L34" s="11" t="s">
        <v>42</v>
      </c>
      <c r="M34" s="9">
        <v>0</v>
      </c>
      <c r="N34" s="9" t="s">
        <v>165</v>
      </c>
      <c r="O34" s="9" t="s">
        <v>168</v>
      </c>
      <c r="P34" s="9" t="s">
        <v>169</v>
      </c>
      <c r="Q34" s="11" t="s">
        <v>41</v>
      </c>
      <c r="R34" s="11">
        <v>20</v>
      </c>
      <c r="S34" s="11" t="s">
        <v>42</v>
      </c>
      <c r="T34" s="9">
        <v>0</v>
      </c>
      <c r="U34" s="9" t="s">
        <v>42</v>
      </c>
      <c r="V34" s="9">
        <v>0</v>
      </c>
      <c r="W34" s="11" t="s">
        <v>42</v>
      </c>
      <c r="X34" s="9" t="s">
        <v>43</v>
      </c>
      <c r="Y34" s="9">
        <v>0</v>
      </c>
      <c r="Z34" s="9"/>
      <c r="AA34" s="9"/>
      <c r="AB34" s="11">
        <f t="shared" si="1"/>
        <v>0</v>
      </c>
      <c r="AC34" s="11">
        <f t="shared" si="2"/>
        <v>0</v>
      </c>
      <c r="AD34" s="15">
        <v>0</v>
      </c>
      <c r="AE34" s="18">
        <f t="shared" si="3"/>
        <v>0</v>
      </c>
      <c r="AF34" s="11" t="str">
        <f t="shared" si="4"/>
        <v>Low</v>
      </c>
      <c r="AG34" s="9"/>
      <c r="AH34" s="22"/>
      <c r="AI34" s="22" t="str">
        <f t="shared" ref="AI34:AI66" si="5">IF(AE34&lt;30,"Release",IF(AE34&lt;80,"Investigate","Retain"))</f>
        <v>Release</v>
      </c>
      <c r="AJ34" s="22"/>
      <c r="AK34" s="9"/>
    </row>
    <row r="35" spans="1:37" ht="60" hidden="1" customHeight="1">
      <c r="A35" s="9" t="s">
        <v>164</v>
      </c>
      <c r="B35" s="9" t="s">
        <v>34</v>
      </c>
      <c r="C35" s="9" t="s">
        <v>35</v>
      </c>
      <c r="D35" s="9" t="s">
        <v>165</v>
      </c>
      <c r="E35" s="9" t="s">
        <v>180</v>
      </c>
      <c r="F35" s="9" t="s">
        <v>181</v>
      </c>
      <c r="G35" s="9" t="s">
        <v>165</v>
      </c>
      <c r="H35" s="9" t="s">
        <v>182</v>
      </c>
      <c r="I35" s="9" t="s">
        <v>183</v>
      </c>
      <c r="J35" s="11" t="s">
        <v>57</v>
      </c>
      <c r="K35" s="11">
        <v>7</v>
      </c>
      <c r="L35" s="11" t="s">
        <v>43</v>
      </c>
      <c r="M35" s="9">
        <v>75</v>
      </c>
      <c r="N35" s="9" t="s">
        <v>165</v>
      </c>
      <c r="O35" s="9" t="s">
        <v>168</v>
      </c>
      <c r="P35" s="9" t="s">
        <v>169</v>
      </c>
      <c r="Q35" s="11" t="s">
        <v>41</v>
      </c>
      <c r="R35" s="11">
        <v>19</v>
      </c>
      <c r="S35" s="11" t="s">
        <v>42</v>
      </c>
      <c r="T35" s="9">
        <v>0</v>
      </c>
      <c r="U35" s="9" t="s">
        <v>43</v>
      </c>
      <c r="V35" s="9">
        <v>40</v>
      </c>
      <c r="W35" s="11" t="s">
        <v>43</v>
      </c>
      <c r="X35" s="9" t="s">
        <v>42</v>
      </c>
      <c r="Y35" s="9">
        <v>2</v>
      </c>
      <c r="Z35" s="9" t="s">
        <v>101</v>
      </c>
      <c r="AA35" s="9" t="s">
        <v>184</v>
      </c>
      <c r="AB35" s="11">
        <f t="shared" si="1"/>
        <v>12</v>
      </c>
      <c r="AC35" s="11">
        <f t="shared" si="2"/>
        <v>85</v>
      </c>
      <c r="AD35" s="15">
        <v>0.79</v>
      </c>
      <c r="AE35" s="18">
        <f t="shared" si="3"/>
        <v>75</v>
      </c>
      <c r="AF35" s="11" t="str">
        <f t="shared" si="4"/>
        <v>Medium</v>
      </c>
      <c r="AG35" s="9" t="s">
        <v>185</v>
      </c>
      <c r="AH35" s="23" t="s">
        <v>703</v>
      </c>
      <c r="AI35" s="22" t="str">
        <f t="shared" si="5"/>
        <v>Investigate</v>
      </c>
      <c r="AJ35" s="22" t="s">
        <v>61</v>
      </c>
      <c r="AK35" s="9" t="s">
        <v>186</v>
      </c>
    </row>
    <row r="36" spans="1:37" ht="60" hidden="1" customHeight="1">
      <c r="A36" s="9" t="s">
        <v>164</v>
      </c>
      <c r="B36" s="9" t="s">
        <v>34</v>
      </c>
      <c r="C36" s="9" t="s">
        <v>52</v>
      </c>
      <c r="D36" s="9" t="s">
        <v>165</v>
      </c>
      <c r="E36" s="9" t="s">
        <v>187</v>
      </c>
      <c r="F36" s="9" t="s">
        <v>188</v>
      </c>
      <c r="G36" s="9" t="s">
        <v>165</v>
      </c>
      <c r="H36" s="9" t="s">
        <v>176</v>
      </c>
      <c r="I36" s="9" t="s">
        <v>177</v>
      </c>
      <c r="J36" s="11" t="s">
        <v>41</v>
      </c>
      <c r="K36" s="11">
        <v>20</v>
      </c>
      <c r="L36" s="11" t="s">
        <v>42</v>
      </c>
      <c r="M36" s="9">
        <v>0</v>
      </c>
      <c r="N36" s="9" t="s">
        <v>165</v>
      </c>
      <c r="O36" s="9" t="s">
        <v>176</v>
      </c>
      <c r="P36" s="9" t="s">
        <v>177</v>
      </c>
      <c r="Q36" s="11" t="s">
        <v>41</v>
      </c>
      <c r="R36" s="11">
        <v>20</v>
      </c>
      <c r="S36" s="11" t="s">
        <v>42</v>
      </c>
      <c r="T36" s="9">
        <v>0</v>
      </c>
      <c r="U36" s="9" t="s">
        <v>42</v>
      </c>
      <c r="V36" s="9">
        <v>0</v>
      </c>
      <c r="W36" s="11" t="s">
        <v>42</v>
      </c>
      <c r="X36" s="9" t="s">
        <v>43</v>
      </c>
      <c r="Y36" s="9">
        <v>0</v>
      </c>
      <c r="Z36" s="9"/>
      <c r="AA36" s="9"/>
      <c r="AB36" s="11">
        <f t="shared" si="1"/>
        <v>0</v>
      </c>
      <c r="AC36" s="11">
        <f t="shared" si="2"/>
        <v>0</v>
      </c>
      <c r="AD36" s="15">
        <v>0</v>
      </c>
      <c r="AE36" s="18">
        <f t="shared" si="3"/>
        <v>0</v>
      </c>
      <c r="AF36" s="11" t="str">
        <f t="shared" si="4"/>
        <v>Low</v>
      </c>
      <c r="AG36" s="9"/>
      <c r="AH36" s="22"/>
      <c r="AI36" s="22" t="str">
        <f t="shared" si="5"/>
        <v>Release</v>
      </c>
      <c r="AJ36" s="22"/>
      <c r="AK36" s="9"/>
    </row>
    <row r="37" spans="1:37" ht="60" customHeight="1">
      <c r="A37" s="9" t="s">
        <v>164</v>
      </c>
      <c r="B37" s="9" t="s">
        <v>34</v>
      </c>
      <c r="C37" s="9" t="s">
        <v>35</v>
      </c>
      <c r="D37" s="9" t="s">
        <v>165</v>
      </c>
      <c r="E37" s="9" t="s">
        <v>189</v>
      </c>
      <c r="F37" s="9" t="s">
        <v>190</v>
      </c>
      <c r="G37" s="9" t="s">
        <v>165</v>
      </c>
      <c r="H37" s="9" t="s">
        <v>172</v>
      </c>
      <c r="I37" s="9" t="s">
        <v>173</v>
      </c>
      <c r="J37" s="11" t="s">
        <v>41</v>
      </c>
      <c r="K37" s="11">
        <v>19</v>
      </c>
      <c r="L37" s="11" t="s">
        <v>42</v>
      </c>
      <c r="M37" s="9">
        <v>0</v>
      </c>
      <c r="N37" s="9" t="s">
        <v>165</v>
      </c>
      <c r="O37" s="9" t="s">
        <v>172</v>
      </c>
      <c r="P37" s="9" t="s">
        <v>173</v>
      </c>
      <c r="Q37" s="11" t="s">
        <v>41</v>
      </c>
      <c r="R37" s="11">
        <v>19</v>
      </c>
      <c r="S37" s="11" t="s">
        <v>42</v>
      </c>
      <c r="T37" s="9">
        <v>0</v>
      </c>
      <c r="U37" s="9" t="s">
        <v>43</v>
      </c>
      <c r="V37" s="9">
        <v>90</v>
      </c>
      <c r="W37" s="11" t="s">
        <v>43</v>
      </c>
      <c r="X37" s="9" t="s">
        <v>43</v>
      </c>
      <c r="Y37" s="9">
        <v>1</v>
      </c>
      <c r="Z37" s="9" t="s">
        <v>91</v>
      </c>
      <c r="AA37" s="9" t="s">
        <v>191</v>
      </c>
      <c r="AB37" s="11">
        <f t="shared" si="1"/>
        <v>0</v>
      </c>
      <c r="AC37" s="11">
        <f t="shared" si="2"/>
        <v>90</v>
      </c>
      <c r="AD37" s="15">
        <v>0.85</v>
      </c>
      <c r="AE37" s="18">
        <f t="shared" si="3"/>
        <v>90</v>
      </c>
      <c r="AF37" s="11" t="str">
        <f t="shared" si="4"/>
        <v>High</v>
      </c>
      <c r="AG37" s="9" t="s">
        <v>93</v>
      </c>
      <c r="AH37" s="22" t="s">
        <v>696</v>
      </c>
      <c r="AI37" s="22" t="str">
        <f t="shared" si="5"/>
        <v>Retain</v>
      </c>
      <c r="AJ37" s="22" t="s">
        <v>702</v>
      </c>
      <c r="AK37" s="9" t="s">
        <v>192</v>
      </c>
    </row>
    <row r="38" spans="1:37" ht="60" hidden="1" customHeight="1">
      <c r="A38" s="9" t="s">
        <v>193</v>
      </c>
      <c r="B38" s="9" t="s">
        <v>194</v>
      </c>
      <c r="C38" s="9" t="s">
        <v>195</v>
      </c>
      <c r="D38" s="9" t="s">
        <v>36</v>
      </c>
      <c r="E38" s="9" t="s">
        <v>196</v>
      </c>
      <c r="F38" s="9" t="s">
        <v>197</v>
      </c>
      <c r="G38" s="9" t="s">
        <v>36</v>
      </c>
      <c r="H38" s="9" t="s">
        <v>198</v>
      </c>
      <c r="I38" s="9" t="s">
        <v>199</v>
      </c>
      <c r="J38" s="11" t="s">
        <v>41</v>
      </c>
      <c r="K38" s="11">
        <v>21</v>
      </c>
      <c r="L38" s="11" t="s">
        <v>42</v>
      </c>
      <c r="M38" s="9">
        <v>0</v>
      </c>
      <c r="N38" s="9" t="s">
        <v>36</v>
      </c>
      <c r="O38" s="9" t="s">
        <v>198</v>
      </c>
      <c r="P38" s="9" t="s">
        <v>199</v>
      </c>
      <c r="Q38" s="11" t="s">
        <v>41</v>
      </c>
      <c r="R38" s="11">
        <v>21</v>
      </c>
      <c r="S38" s="11" t="s">
        <v>42</v>
      </c>
      <c r="T38" s="9">
        <v>0</v>
      </c>
      <c r="U38" s="9" t="s">
        <v>42</v>
      </c>
      <c r="V38" s="9">
        <v>0</v>
      </c>
      <c r="W38" s="11" t="s">
        <v>42</v>
      </c>
      <c r="X38" s="9" t="s">
        <v>43</v>
      </c>
      <c r="Y38" s="9">
        <v>0</v>
      </c>
      <c r="Z38" s="9"/>
      <c r="AA38" s="9"/>
      <c r="AB38" s="11">
        <f t="shared" si="1"/>
        <v>0</v>
      </c>
      <c r="AC38" s="11">
        <f t="shared" si="2"/>
        <v>0</v>
      </c>
      <c r="AD38" s="15">
        <v>0</v>
      </c>
      <c r="AE38" s="18">
        <f t="shared" si="3"/>
        <v>0</v>
      </c>
      <c r="AF38" s="11" t="str">
        <f t="shared" si="4"/>
        <v>Low</v>
      </c>
      <c r="AG38" s="9"/>
      <c r="AH38" s="22"/>
      <c r="AI38" s="22" t="str">
        <f t="shared" si="5"/>
        <v>Release</v>
      </c>
      <c r="AJ38" s="22"/>
      <c r="AK38" s="9"/>
    </row>
    <row r="39" spans="1:37" ht="60" hidden="1" customHeight="1">
      <c r="A39" s="9" t="s">
        <v>193</v>
      </c>
      <c r="B39" s="9" t="s">
        <v>194</v>
      </c>
      <c r="C39" s="9" t="s">
        <v>200</v>
      </c>
      <c r="D39" s="9" t="s">
        <v>36</v>
      </c>
      <c r="E39" s="9" t="s">
        <v>201</v>
      </c>
      <c r="F39" s="9" t="s">
        <v>202</v>
      </c>
      <c r="G39" s="9" t="s">
        <v>36</v>
      </c>
      <c r="H39" s="9" t="s">
        <v>203</v>
      </c>
      <c r="I39" s="9" t="s">
        <v>204</v>
      </c>
      <c r="J39" s="11" t="s">
        <v>41</v>
      </c>
      <c r="K39" s="11">
        <v>23</v>
      </c>
      <c r="L39" s="11" t="s">
        <v>42</v>
      </c>
      <c r="M39" s="9">
        <v>0</v>
      </c>
      <c r="N39" s="9" t="s">
        <v>36</v>
      </c>
      <c r="O39" s="9" t="s">
        <v>203</v>
      </c>
      <c r="P39" s="9" t="s">
        <v>204</v>
      </c>
      <c r="Q39" s="11" t="s">
        <v>41</v>
      </c>
      <c r="R39" s="11">
        <v>23</v>
      </c>
      <c r="S39" s="11" t="s">
        <v>42</v>
      </c>
      <c r="T39" s="9">
        <v>0</v>
      </c>
      <c r="U39" s="9" t="s">
        <v>42</v>
      </c>
      <c r="V39" s="9">
        <v>0</v>
      </c>
      <c r="W39" s="11" t="s">
        <v>42</v>
      </c>
      <c r="X39" s="9" t="s">
        <v>43</v>
      </c>
      <c r="Y39" s="9">
        <v>0</v>
      </c>
      <c r="Z39" s="9"/>
      <c r="AA39" s="9"/>
      <c r="AB39" s="11">
        <f t="shared" si="1"/>
        <v>0</v>
      </c>
      <c r="AC39" s="11">
        <f t="shared" si="2"/>
        <v>0</v>
      </c>
      <c r="AD39" s="15">
        <v>0</v>
      </c>
      <c r="AE39" s="18">
        <f t="shared" si="3"/>
        <v>0</v>
      </c>
      <c r="AF39" s="11" t="str">
        <f t="shared" si="4"/>
        <v>Low</v>
      </c>
      <c r="AG39" s="9"/>
      <c r="AH39" s="22"/>
      <c r="AI39" s="22" t="str">
        <f t="shared" si="5"/>
        <v>Release</v>
      </c>
      <c r="AJ39" s="22"/>
      <c r="AK39" s="9"/>
    </row>
    <row r="40" spans="1:37" ht="60" hidden="1" customHeight="1">
      <c r="A40" s="9" t="s">
        <v>193</v>
      </c>
      <c r="B40" s="9" t="s">
        <v>194</v>
      </c>
      <c r="C40" s="9" t="s">
        <v>195</v>
      </c>
      <c r="D40" s="9" t="s">
        <v>36</v>
      </c>
      <c r="E40" s="9" t="s">
        <v>205</v>
      </c>
      <c r="F40" s="9" t="s">
        <v>206</v>
      </c>
      <c r="G40" s="9" t="s">
        <v>36</v>
      </c>
      <c r="H40" s="9" t="s">
        <v>207</v>
      </c>
      <c r="I40" s="9" t="s">
        <v>208</v>
      </c>
      <c r="J40" s="11" t="s">
        <v>41</v>
      </c>
      <c r="K40" s="11">
        <v>21</v>
      </c>
      <c r="L40" s="11" t="s">
        <v>42</v>
      </c>
      <c r="M40" s="9">
        <v>0</v>
      </c>
      <c r="N40" s="9" t="s">
        <v>36</v>
      </c>
      <c r="O40" s="9" t="s">
        <v>207</v>
      </c>
      <c r="P40" s="9" t="s">
        <v>208</v>
      </c>
      <c r="Q40" s="11" t="s">
        <v>41</v>
      </c>
      <c r="R40" s="11">
        <v>21</v>
      </c>
      <c r="S40" s="11" t="s">
        <v>42</v>
      </c>
      <c r="T40" s="9">
        <v>0</v>
      </c>
      <c r="U40" s="9" t="s">
        <v>42</v>
      </c>
      <c r="V40" s="9">
        <v>0</v>
      </c>
      <c r="W40" s="11" t="s">
        <v>42</v>
      </c>
      <c r="X40" s="9" t="s">
        <v>43</v>
      </c>
      <c r="Y40" s="9">
        <v>0</v>
      </c>
      <c r="Z40" s="9"/>
      <c r="AA40" s="9"/>
      <c r="AB40" s="11">
        <f t="shared" si="1"/>
        <v>0</v>
      </c>
      <c r="AC40" s="11">
        <f t="shared" si="2"/>
        <v>0</v>
      </c>
      <c r="AD40" s="15">
        <v>0</v>
      </c>
      <c r="AE40" s="18">
        <f t="shared" si="3"/>
        <v>0</v>
      </c>
      <c r="AF40" s="11" t="str">
        <f t="shared" si="4"/>
        <v>Low</v>
      </c>
      <c r="AG40" s="9"/>
      <c r="AH40" s="22"/>
      <c r="AI40" s="22" t="str">
        <f t="shared" si="5"/>
        <v>Release</v>
      </c>
      <c r="AJ40" s="22"/>
      <c r="AK40" s="9"/>
    </row>
    <row r="41" spans="1:37" ht="60" hidden="1" customHeight="1">
      <c r="A41" s="9" t="s">
        <v>193</v>
      </c>
      <c r="B41" s="9" t="s">
        <v>194</v>
      </c>
      <c r="C41" s="9" t="s">
        <v>200</v>
      </c>
      <c r="D41" s="9" t="s">
        <v>36</v>
      </c>
      <c r="E41" s="9" t="s">
        <v>209</v>
      </c>
      <c r="F41" s="9" t="s">
        <v>210</v>
      </c>
      <c r="G41" s="9" t="s">
        <v>36</v>
      </c>
      <c r="H41" s="9" t="s">
        <v>198</v>
      </c>
      <c r="I41" s="9" t="s">
        <v>199</v>
      </c>
      <c r="J41" s="11" t="s">
        <v>41</v>
      </c>
      <c r="K41" s="11">
        <v>23</v>
      </c>
      <c r="L41" s="11" t="s">
        <v>42</v>
      </c>
      <c r="M41" s="9">
        <v>0</v>
      </c>
      <c r="N41" s="9" t="s">
        <v>36</v>
      </c>
      <c r="O41" s="9" t="s">
        <v>198</v>
      </c>
      <c r="P41" s="9" t="s">
        <v>199</v>
      </c>
      <c r="Q41" s="11" t="s">
        <v>41</v>
      </c>
      <c r="R41" s="11">
        <v>23</v>
      </c>
      <c r="S41" s="11" t="s">
        <v>42</v>
      </c>
      <c r="T41" s="9">
        <v>0</v>
      </c>
      <c r="U41" s="9" t="s">
        <v>42</v>
      </c>
      <c r="V41" s="9">
        <v>0</v>
      </c>
      <c r="W41" s="11" t="s">
        <v>42</v>
      </c>
      <c r="X41" s="9" t="s">
        <v>43</v>
      </c>
      <c r="Y41" s="9">
        <v>0</v>
      </c>
      <c r="Z41" s="9"/>
      <c r="AA41" s="9"/>
      <c r="AB41" s="11">
        <f t="shared" si="1"/>
        <v>0</v>
      </c>
      <c r="AC41" s="11">
        <f t="shared" si="2"/>
        <v>0</v>
      </c>
      <c r="AD41" s="15">
        <v>0</v>
      </c>
      <c r="AE41" s="18">
        <f t="shared" si="3"/>
        <v>0</v>
      </c>
      <c r="AF41" s="11" t="str">
        <f t="shared" si="4"/>
        <v>Low</v>
      </c>
      <c r="AG41" s="9"/>
      <c r="AH41" s="22"/>
      <c r="AI41" s="22" t="str">
        <f t="shared" si="5"/>
        <v>Release</v>
      </c>
      <c r="AJ41" s="22"/>
      <c r="AK41" s="9"/>
    </row>
    <row r="42" spans="1:37" ht="60" hidden="1" customHeight="1">
      <c r="A42" s="9" t="s">
        <v>193</v>
      </c>
      <c r="B42" s="9" t="s">
        <v>194</v>
      </c>
      <c r="C42" s="9" t="s">
        <v>195</v>
      </c>
      <c r="D42" s="9" t="s">
        <v>36</v>
      </c>
      <c r="E42" s="9" t="s">
        <v>211</v>
      </c>
      <c r="F42" s="9" t="s">
        <v>212</v>
      </c>
      <c r="G42" s="9" t="s">
        <v>36</v>
      </c>
      <c r="H42" s="9" t="s">
        <v>203</v>
      </c>
      <c r="I42" s="9" t="s">
        <v>204</v>
      </c>
      <c r="J42" s="11" t="s">
        <v>41</v>
      </c>
      <c r="K42" s="11">
        <v>21</v>
      </c>
      <c r="L42" s="11" t="s">
        <v>42</v>
      </c>
      <c r="M42" s="9">
        <v>0</v>
      </c>
      <c r="N42" s="9" t="s">
        <v>36</v>
      </c>
      <c r="O42" s="9" t="s">
        <v>203</v>
      </c>
      <c r="P42" s="9" t="s">
        <v>204</v>
      </c>
      <c r="Q42" s="11" t="s">
        <v>41</v>
      </c>
      <c r="R42" s="11">
        <v>21</v>
      </c>
      <c r="S42" s="11" t="s">
        <v>42</v>
      </c>
      <c r="T42" s="9">
        <v>0</v>
      </c>
      <c r="U42" s="9" t="s">
        <v>42</v>
      </c>
      <c r="V42" s="9">
        <v>0</v>
      </c>
      <c r="W42" s="11" t="s">
        <v>42</v>
      </c>
      <c r="X42" s="9" t="s">
        <v>43</v>
      </c>
      <c r="Y42" s="9">
        <v>0</v>
      </c>
      <c r="Z42" s="9"/>
      <c r="AA42" s="9"/>
      <c r="AB42" s="11">
        <f t="shared" si="1"/>
        <v>0</v>
      </c>
      <c r="AC42" s="11">
        <f t="shared" si="2"/>
        <v>0</v>
      </c>
      <c r="AD42" s="15">
        <v>0</v>
      </c>
      <c r="AE42" s="18">
        <f t="shared" si="3"/>
        <v>0</v>
      </c>
      <c r="AF42" s="11" t="str">
        <f t="shared" si="4"/>
        <v>Low</v>
      </c>
      <c r="AG42" s="9"/>
      <c r="AH42" s="22"/>
      <c r="AI42" s="22" t="str">
        <f t="shared" si="5"/>
        <v>Release</v>
      </c>
      <c r="AJ42" s="22"/>
      <c r="AK42" s="9"/>
    </row>
    <row r="43" spans="1:37" ht="60" hidden="1" customHeight="1">
      <c r="A43" s="9" t="s">
        <v>193</v>
      </c>
      <c r="B43" s="9" t="s">
        <v>194</v>
      </c>
      <c r="C43" s="9" t="s">
        <v>200</v>
      </c>
      <c r="D43" s="9" t="s">
        <v>36</v>
      </c>
      <c r="E43" s="9" t="s">
        <v>213</v>
      </c>
      <c r="F43" s="9" t="s">
        <v>214</v>
      </c>
      <c r="G43" s="9" t="s">
        <v>36</v>
      </c>
      <c r="H43" s="9" t="s">
        <v>207</v>
      </c>
      <c r="I43" s="9" t="s">
        <v>208</v>
      </c>
      <c r="J43" s="11" t="s">
        <v>41</v>
      </c>
      <c r="K43" s="11">
        <v>23</v>
      </c>
      <c r="L43" s="11" t="s">
        <v>42</v>
      </c>
      <c r="M43" s="9">
        <v>0</v>
      </c>
      <c r="N43" s="9" t="s">
        <v>36</v>
      </c>
      <c r="O43" s="9" t="s">
        <v>207</v>
      </c>
      <c r="P43" s="9" t="s">
        <v>208</v>
      </c>
      <c r="Q43" s="11" t="s">
        <v>41</v>
      </c>
      <c r="R43" s="11">
        <v>23</v>
      </c>
      <c r="S43" s="11" t="s">
        <v>42</v>
      </c>
      <c r="T43" s="9">
        <v>0</v>
      </c>
      <c r="U43" s="9" t="s">
        <v>42</v>
      </c>
      <c r="V43" s="9">
        <v>0</v>
      </c>
      <c r="W43" s="11" t="s">
        <v>42</v>
      </c>
      <c r="X43" s="9" t="s">
        <v>43</v>
      </c>
      <c r="Y43" s="9">
        <v>0</v>
      </c>
      <c r="Z43" s="9"/>
      <c r="AA43" s="9"/>
      <c r="AB43" s="11">
        <f t="shared" si="1"/>
        <v>0</v>
      </c>
      <c r="AC43" s="11">
        <f t="shared" si="2"/>
        <v>0</v>
      </c>
      <c r="AD43" s="15">
        <v>0</v>
      </c>
      <c r="AE43" s="18">
        <f t="shared" si="3"/>
        <v>0</v>
      </c>
      <c r="AF43" s="11" t="str">
        <f t="shared" si="4"/>
        <v>Low</v>
      </c>
      <c r="AG43" s="9"/>
      <c r="AH43" s="22"/>
      <c r="AI43" s="22" t="str">
        <f t="shared" si="5"/>
        <v>Release</v>
      </c>
      <c r="AJ43" s="22"/>
      <c r="AK43" s="9"/>
    </row>
    <row r="44" spans="1:37" ht="60" hidden="1" customHeight="1">
      <c r="A44" s="9" t="s">
        <v>193</v>
      </c>
      <c r="B44" s="9" t="s">
        <v>194</v>
      </c>
      <c r="C44" s="9" t="s">
        <v>200</v>
      </c>
      <c r="D44" s="9" t="s">
        <v>36</v>
      </c>
      <c r="E44" s="9" t="s">
        <v>215</v>
      </c>
      <c r="F44" s="9" t="s">
        <v>216</v>
      </c>
      <c r="G44" s="9" t="s">
        <v>36</v>
      </c>
      <c r="H44" s="9" t="s">
        <v>78</v>
      </c>
      <c r="I44" s="9" t="s">
        <v>79</v>
      </c>
      <c r="J44" s="11" t="s">
        <v>217</v>
      </c>
      <c r="K44" s="11">
        <v>0</v>
      </c>
      <c r="L44" s="11" t="s">
        <v>43</v>
      </c>
      <c r="M44" s="9">
        <v>40</v>
      </c>
      <c r="N44" s="9" t="s">
        <v>36</v>
      </c>
      <c r="O44" s="9" t="s">
        <v>207</v>
      </c>
      <c r="P44" s="9" t="s">
        <v>208</v>
      </c>
      <c r="Q44" s="11" t="s">
        <v>41</v>
      </c>
      <c r="R44" s="11">
        <v>23</v>
      </c>
      <c r="S44" s="11" t="s">
        <v>42</v>
      </c>
      <c r="T44" s="11">
        <v>0</v>
      </c>
      <c r="U44" s="9" t="s">
        <v>42</v>
      </c>
      <c r="V44" s="9">
        <v>0</v>
      </c>
      <c r="W44" s="11" t="s">
        <v>42</v>
      </c>
      <c r="X44" s="9" t="s">
        <v>42</v>
      </c>
      <c r="Y44" s="9">
        <v>1</v>
      </c>
      <c r="Z44" s="9" t="s">
        <v>58</v>
      </c>
      <c r="AA44" s="9" t="s">
        <v>218</v>
      </c>
      <c r="AB44" s="11">
        <f t="shared" si="1"/>
        <v>23</v>
      </c>
      <c r="AC44" s="11">
        <f t="shared" si="2"/>
        <v>40</v>
      </c>
      <c r="AD44" s="15">
        <v>0.75</v>
      </c>
      <c r="AE44" s="18">
        <f t="shared" si="3"/>
        <v>40</v>
      </c>
      <c r="AF44" s="11" t="str">
        <f t="shared" si="4"/>
        <v>Medium</v>
      </c>
      <c r="AG44" s="9" t="s">
        <v>219</v>
      </c>
      <c r="AH44" s="23" t="s">
        <v>703</v>
      </c>
      <c r="AI44" s="22" t="str">
        <f t="shared" si="5"/>
        <v>Investigate</v>
      </c>
      <c r="AJ44" s="22" t="s">
        <v>61</v>
      </c>
      <c r="AK44" s="9" t="s">
        <v>220</v>
      </c>
    </row>
    <row r="45" spans="1:37" ht="60" hidden="1" customHeight="1">
      <c r="A45" s="9" t="s">
        <v>221</v>
      </c>
      <c r="B45" s="9" t="s">
        <v>194</v>
      </c>
      <c r="C45" s="9" t="s">
        <v>195</v>
      </c>
      <c r="D45" s="9" t="s">
        <v>80</v>
      </c>
      <c r="E45" s="9" t="s">
        <v>222</v>
      </c>
      <c r="F45" s="9" t="s">
        <v>223</v>
      </c>
      <c r="G45" s="9" t="s">
        <v>80</v>
      </c>
      <c r="H45" s="9" t="s">
        <v>151</v>
      </c>
      <c r="I45" s="9" t="s">
        <v>152</v>
      </c>
      <c r="J45" s="11" t="s">
        <v>57</v>
      </c>
      <c r="K45" s="11">
        <v>9</v>
      </c>
      <c r="L45" s="11" t="s">
        <v>42</v>
      </c>
      <c r="M45" s="9">
        <v>0</v>
      </c>
      <c r="N45" s="9" t="s">
        <v>80</v>
      </c>
      <c r="O45" s="9" t="s">
        <v>151</v>
      </c>
      <c r="P45" s="9" t="s">
        <v>152</v>
      </c>
      <c r="Q45" s="11" t="s">
        <v>57</v>
      </c>
      <c r="R45" s="11">
        <v>9</v>
      </c>
      <c r="S45" s="11" t="s">
        <v>42</v>
      </c>
      <c r="T45" s="9">
        <v>0</v>
      </c>
      <c r="U45" s="9" t="s">
        <v>42</v>
      </c>
      <c r="V45" s="9">
        <v>0</v>
      </c>
      <c r="W45" s="11" t="s">
        <v>42</v>
      </c>
      <c r="X45" s="9" t="s">
        <v>43</v>
      </c>
      <c r="Y45" s="9">
        <v>0</v>
      </c>
      <c r="Z45" s="9"/>
      <c r="AA45" s="9"/>
      <c r="AB45" s="11">
        <f t="shared" si="1"/>
        <v>0</v>
      </c>
      <c r="AC45" s="11">
        <f t="shared" si="2"/>
        <v>0</v>
      </c>
      <c r="AD45" s="15">
        <v>0</v>
      </c>
      <c r="AE45" s="18">
        <f t="shared" si="3"/>
        <v>0</v>
      </c>
      <c r="AF45" s="11" t="str">
        <f t="shared" si="4"/>
        <v>Low</v>
      </c>
      <c r="AG45" s="9"/>
      <c r="AH45" s="22"/>
      <c r="AI45" s="22" t="str">
        <f t="shared" si="5"/>
        <v>Release</v>
      </c>
      <c r="AJ45" s="22"/>
      <c r="AK45" s="9"/>
    </row>
    <row r="46" spans="1:37" ht="60" hidden="1" customHeight="1">
      <c r="A46" s="9" t="s">
        <v>221</v>
      </c>
      <c r="B46" s="9" t="s">
        <v>194</v>
      </c>
      <c r="C46" s="9" t="s">
        <v>200</v>
      </c>
      <c r="D46" s="9" t="s">
        <v>80</v>
      </c>
      <c r="E46" s="9" t="s">
        <v>224</v>
      </c>
      <c r="F46" s="9" t="s">
        <v>225</v>
      </c>
      <c r="G46" s="9" t="s">
        <v>80</v>
      </c>
      <c r="H46" s="9" t="s">
        <v>226</v>
      </c>
      <c r="I46" s="9" t="s">
        <v>227</v>
      </c>
      <c r="J46" s="11" t="s">
        <v>217</v>
      </c>
      <c r="K46" s="11">
        <v>0</v>
      </c>
      <c r="L46" s="11" t="s">
        <v>42</v>
      </c>
      <c r="M46" s="9">
        <v>0</v>
      </c>
      <c r="N46" s="9" t="s">
        <v>80</v>
      </c>
      <c r="O46" s="9" t="s">
        <v>226</v>
      </c>
      <c r="P46" s="9" t="s">
        <v>227</v>
      </c>
      <c r="Q46" s="11" t="s">
        <v>217</v>
      </c>
      <c r="R46" s="11">
        <v>0</v>
      </c>
      <c r="S46" s="11" t="s">
        <v>42</v>
      </c>
      <c r="T46" s="9">
        <v>0</v>
      </c>
      <c r="U46" s="9" t="s">
        <v>42</v>
      </c>
      <c r="V46" s="9">
        <v>0</v>
      </c>
      <c r="W46" s="11" t="s">
        <v>42</v>
      </c>
      <c r="X46" s="9" t="s">
        <v>43</v>
      </c>
      <c r="Y46" s="9">
        <v>0</v>
      </c>
      <c r="Z46" s="9"/>
      <c r="AA46" s="9"/>
      <c r="AB46" s="11">
        <f t="shared" si="1"/>
        <v>0</v>
      </c>
      <c r="AC46" s="11">
        <f t="shared" si="2"/>
        <v>0</v>
      </c>
      <c r="AD46" s="15">
        <v>0</v>
      </c>
      <c r="AE46" s="18">
        <f t="shared" si="3"/>
        <v>0</v>
      </c>
      <c r="AF46" s="11" t="str">
        <f t="shared" si="4"/>
        <v>Low</v>
      </c>
      <c r="AG46" s="9"/>
      <c r="AH46" s="22"/>
      <c r="AI46" s="22" t="str">
        <f t="shared" si="5"/>
        <v>Release</v>
      </c>
      <c r="AJ46" s="22"/>
      <c r="AK46" s="9"/>
    </row>
    <row r="47" spans="1:37" ht="60" hidden="1" customHeight="1">
      <c r="A47" s="9" t="s">
        <v>221</v>
      </c>
      <c r="B47" s="9" t="s">
        <v>194</v>
      </c>
      <c r="C47" s="9" t="s">
        <v>195</v>
      </c>
      <c r="D47" s="9" t="s">
        <v>133</v>
      </c>
      <c r="E47" s="9" t="s">
        <v>228</v>
      </c>
      <c r="F47" s="9" t="s">
        <v>229</v>
      </c>
      <c r="G47" s="9" t="s">
        <v>133</v>
      </c>
      <c r="H47" s="9" t="s">
        <v>230</v>
      </c>
      <c r="I47" s="9" t="s">
        <v>231</v>
      </c>
      <c r="J47" s="11" t="s">
        <v>57</v>
      </c>
      <c r="K47" s="11">
        <v>9</v>
      </c>
      <c r="L47" s="11" t="s">
        <v>42</v>
      </c>
      <c r="M47" s="9">
        <v>0</v>
      </c>
      <c r="N47" s="9" t="s">
        <v>133</v>
      </c>
      <c r="O47" s="9" t="s">
        <v>230</v>
      </c>
      <c r="P47" s="9" t="s">
        <v>231</v>
      </c>
      <c r="Q47" s="11" t="s">
        <v>57</v>
      </c>
      <c r="R47" s="11">
        <v>9</v>
      </c>
      <c r="S47" s="11" t="s">
        <v>42</v>
      </c>
      <c r="T47" s="9">
        <v>0</v>
      </c>
      <c r="U47" s="9" t="s">
        <v>42</v>
      </c>
      <c r="V47" s="9">
        <v>0</v>
      </c>
      <c r="W47" s="11" t="s">
        <v>42</v>
      </c>
      <c r="X47" s="9" t="s">
        <v>43</v>
      </c>
      <c r="Y47" s="9">
        <v>0</v>
      </c>
      <c r="Z47" s="9"/>
      <c r="AA47" s="9"/>
      <c r="AB47" s="11">
        <f t="shared" si="1"/>
        <v>0</v>
      </c>
      <c r="AC47" s="11">
        <f t="shared" si="2"/>
        <v>0</v>
      </c>
      <c r="AD47" s="15">
        <v>0</v>
      </c>
      <c r="AE47" s="18">
        <f t="shared" si="3"/>
        <v>0</v>
      </c>
      <c r="AF47" s="11" t="str">
        <f t="shared" si="4"/>
        <v>Low</v>
      </c>
      <c r="AG47" s="9"/>
      <c r="AH47" s="22"/>
      <c r="AI47" s="22" t="str">
        <f t="shared" si="5"/>
        <v>Release</v>
      </c>
      <c r="AJ47" s="22"/>
      <c r="AK47" s="9"/>
    </row>
    <row r="48" spans="1:37" ht="60" customHeight="1">
      <c r="A48" s="9" t="s">
        <v>221</v>
      </c>
      <c r="B48" s="9" t="s">
        <v>194</v>
      </c>
      <c r="C48" s="9" t="s">
        <v>200</v>
      </c>
      <c r="D48" s="9" t="s">
        <v>80</v>
      </c>
      <c r="E48" s="9" t="s">
        <v>232</v>
      </c>
      <c r="F48" s="9" t="s">
        <v>233</v>
      </c>
      <c r="G48" s="9" t="s">
        <v>80</v>
      </c>
      <c r="H48" s="9" t="s">
        <v>151</v>
      </c>
      <c r="I48" s="9" t="s">
        <v>152</v>
      </c>
      <c r="J48" s="11" t="s">
        <v>217</v>
      </c>
      <c r="K48" s="11">
        <v>0</v>
      </c>
      <c r="L48" s="11" t="s">
        <v>42</v>
      </c>
      <c r="M48" s="9">
        <v>0</v>
      </c>
      <c r="N48" s="9" t="s">
        <v>80</v>
      </c>
      <c r="O48" s="9" t="s">
        <v>151</v>
      </c>
      <c r="P48" s="9" t="s">
        <v>152</v>
      </c>
      <c r="Q48" s="11" t="s">
        <v>217</v>
      </c>
      <c r="R48" s="11">
        <v>0</v>
      </c>
      <c r="S48" s="11" t="s">
        <v>42</v>
      </c>
      <c r="T48" s="9">
        <v>0</v>
      </c>
      <c r="U48" s="9" t="s">
        <v>43</v>
      </c>
      <c r="V48" s="9">
        <v>90</v>
      </c>
      <c r="W48" s="11" t="s">
        <v>43</v>
      </c>
      <c r="X48" s="9" t="s">
        <v>43</v>
      </c>
      <c r="Y48" s="9">
        <v>1</v>
      </c>
      <c r="Z48" s="9" t="s">
        <v>91</v>
      </c>
      <c r="AA48" s="19" t="s">
        <v>234</v>
      </c>
      <c r="AB48" s="11">
        <f t="shared" si="1"/>
        <v>0</v>
      </c>
      <c r="AC48" s="11">
        <f t="shared" si="2"/>
        <v>90</v>
      </c>
      <c r="AD48" s="15">
        <v>0.85</v>
      </c>
      <c r="AE48" s="18">
        <f t="shared" si="3"/>
        <v>90</v>
      </c>
      <c r="AF48" s="11" t="str">
        <f t="shared" si="4"/>
        <v>High</v>
      </c>
      <c r="AG48" s="9" t="s">
        <v>93</v>
      </c>
      <c r="AH48" s="22" t="s">
        <v>696</v>
      </c>
      <c r="AI48" s="22" t="str">
        <f t="shared" si="5"/>
        <v>Retain</v>
      </c>
      <c r="AJ48" s="22" t="s">
        <v>702</v>
      </c>
      <c r="AK48" s="9" t="s">
        <v>235</v>
      </c>
    </row>
    <row r="49" spans="1:37" ht="60" hidden="1" customHeight="1">
      <c r="A49" s="9" t="s">
        <v>221</v>
      </c>
      <c r="B49" s="9" t="s">
        <v>194</v>
      </c>
      <c r="C49" s="9" t="s">
        <v>195</v>
      </c>
      <c r="D49" s="9" t="s">
        <v>80</v>
      </c>
      <c r="E49" s="9" t="s">
        <v>236</v>
      </c>
      <c r="F49" s="9" t="s">
        <v>237</v>
      </c>
      <c r="G49" s="9" t="s">
        <v>80</v>
      </c>
      <c r="H49" s="9" t="s">
        <v>226</v>
      </c>
      <c r="I49" s="9" t="s">
        <v>227</v>
      </c>
      <c r="J49" s="11" t="s">
        <v>57</v>
      </c>
      <c r="K49" s="11">
        <v>9</v>
      </c>
      <c r="L49" s="11" t="s">
        <v>42</v>
      </c>
      <c r="M49" s="9">
        <v>0</v>
      </c>
      <c r="N49" s="9" t="s">
        <v>80</v>
      </c>
      <c r="O49" s="9" t="s">
        <v>226</v>
      </c>
      <c r="P49" s="9" t="s">
        <v>227</v>
      </c>
      <c r="Q49" s="11" t="s">
        <v>57</v>
      </c>
      <c r="R49" s="11">
        <v>9</v>
      </c>
      <c r="S49" s="11" t="s">
        <v>42</v>
      </c>
      <c r="T49" s="9">
        <v>0</v>
      </c>
      <c r="U49" s="9" t="s">
        <v>42</v>
      </c>
      <c r="V49" s="9">
        <v>0</v>
      </c>
      <c r="W49" s="11" t="s">
        <v>42</v>
      </c>
      <c r="X49" s="9" t="s">
        <v>43</v>
      </c>
      <c r="Y49" s="9">
        <v>0</v>
      </c>
      <c r="Z49" s="9"/>
      <c r="AA49" s="9"/>
      <c r="AB49" s="11">
        <f t="shared" si="1"/>
        <v>0</v>
      </c>
      <c r="AC49" s="11">
        <f t="shared" si="2"/>
        <v>0</v>
      </c>
      <c r="AD49" s="15">
        <v>0</v>
      </c>
      <c r="AE49" s="18">
        <f t="shared" si="3"/>
        <v>0</v>
      </c>
      <c r="AF49" s="11" t="str">
        <f t="shared" si="4"/>
        <v>Low</v>
      </c>
      <c r="AG49" s="9"/>
      <c r="AH49" s="22"/>
      <c r="AI49" s="22" t="str">
        <f t="shared" si="5"/>
        <v>Release</v>
      </c>
      <c r="AJ49" s="22"/>
      <c r="AK49" s="9"/>
    </row>
    <row r="50" spans="1:37" ht="60" hidden="1" customHeight="1">
      <c r="A50" s="9" t="s">
        <v>221</v>
      </c>
      <c r="B50" s="9" t="s">
        <v>194</v>
      </c>
      <c r="C50" s="9" t="s">
        <v>195</v>
      </c>
      <c r="D50" s="9" t="s">
        <v>80</v>
      </c>
      <c r="E50" s="9" t="s">
        <v>238</v>
      </c>
      <c r="F50" s="9" t="s">
        <v>239</v>
      </c>
      <c r="G50" s="9" t="s">
        <v>80</v>
      </c>
      <c r="H50" s="9" t="s">
        <v>151</v>
      </c>
      <c r="I50" s="9" t="s">
        <v>152</v>
      </c>
      <c r="J50" s="11" t="s">
        <v>57</v>
      </c>
      <c r="K50" s="11">
        <v>9</v>
      </c>
      <c r="L50" s="11" t="s">
        <v>42</v>
      </c>
      <c r="M50" s="9">
        <v>44</v>
      </c>
      <c r="N50" s="9" t="s">
        <v>80</v>
      </c>
      <c r="O50" s="9" t="s">
        <v>151</v>
      </c>
      <c r="P50" s="9" t="s">
        <v>152</v>
      </c>
      <c r="Q50" s="11" t="s">
        <v>57</v>
      </c>
      <c r="R50" s="11">
        <v>9</v>
      </c>
      <c r="S50" s="11" t="s">
        <v>43</v>
      </c>
      <c r="T50" s="9">
        <v>60</v>
      </c>
      <c r="U50" s="9" t="s">
        <v>43</v>
      </c>
      <c r="V50" s="9">
        <v>40</v>
      </c>
      <c r="W50" s="11" t="s">
        <v>43</v>
      </c>
      <c r="X50" s="9" t="s">
        <v>43</v>
      </c>
      <c r="Y50" s="9">
        <v>2</v>
      </c>
      <c r="Z50" s="9" t="s">
        <v>240</v>
      </c>
      <c r="AA50" s="9" t="s">
        <v>241</v>
      </c>
      <c r="AB50" s="11">
        <f t="shared" si="1"/>
        <v>0</v>
      </c>
      <c r="AC50" s="11">
        <f t="shared" si="2"/>
        <v>70</v>
      </c>
      <c r="AD50" s="15">
        <v>0.52</v>
      </c>
      <c r="AE50" s="18">
        <f t="shared" si="3"/>
        <v>100</v>
      </c>
      <c r="AF50" s="11" t="str">
        <f t="shared" si="4"/>
        <v>High</v>
      </c>
      <c r="AG50" s="9" t="s">
        <v>242</v>
      </c>
      <c r="AH50" s="22" t="s">
        <v>703</v>
      </c>
      <c r="AI50" s="22" t="str">
        <f t="shared" si="5"/>
        <v>Retain</v>
      </c>
      <c r="AJ50" s="22" t="s">
        <v>701</v>
      </c>
      <c r="AK50" s="9" t="s">
        <v>243</v>
      </c>
    </row>
    <row r="51" spans="1:37" ht="60" hidden="1" customHeight="1">
      <c r="A51" s="9" t="s">
        <v>244</v>
      </c>
      <c r="B51" s="9" t="s">
        <v>194</v>
      </c>
      <c r="C51" s="9" t="s">
        <v>195</v>
      </c>
      <c r="D51" s="9" t="s">
        <v>245</v>
      </c>
      <c r="E51" s="9" t="s">
        <v>246</v>
      </c>
      <c r="F51" s="9" t="s">
        <v>247</v>
      </c>
      <c r="G51" s="9" t="s">
        <v>245</v>
      </c>
      <c r="H51" s="9" t="s">
        <v>248</v>
      </c>
      <c r="I51" s="9" t="s">
        <v>249</v>
      </c>
      <c r="J51" s="11" t="s">
        <v>41</v>
      </c>
      <c r="K51" s="11">
        <v>21</v>
      </c>
      <c r="L51" s="11" t="s">
        <v>42</v>
      </c>
      <c r="M51" s="9">
        <v>0</v>
      </c>
      <c r="N51" s="9" t="s">
        <v>245</v>
      </c>
      <c r="O51" s="9" t="s">
        <v>248</v>
      </c>
      <c r="P51" s="9" t="s">
        <v>249</v>
      </c>
      <c r="Q51" s="11" t="s">
        <v>41</v>
      </c>
      <c r="R51" s="11">
        <v>21</v>
      </c>
      <c r="S51" s="11" t="s">
        <v>42</v>
      </c>
      <c r="T51" s="9">
        <v>0</v>
      </c>
      <c r="U51" s="9" t="s">
        <v>42</v>
      </c>
      <c r="V51" s="9">
        <v>0</v>
      </c>
      <c r="W51" s="11" t="s">
        <v>42</v>
      </c>
      <c r="X51" s="9" t="s">
        <v>43</v>
      </c>
      <c r="Y51" s="9">
        <v>0</v>
      </c>
      <c r="Z51" s="9"/>
      <c r="AA51" s="9"/>
      <c r="AB51" s="11">
        <f t="shared" si="1"/>
        <v>0</v>
      </c>
      <c r="AC51" s="11">
        <f t="shared" si="2"/>
        <v>0</v>
      </c>
      <c r="AD51" s="15">
        <v>0</v>
      </c>
      <c r="AE51" s="18">
        <f t="shared" si="3"/>
        <v>0</v>
      </c>
      <c r="AF51" s="11" t="str">
        <f t="shared" si="4"/>
        <v>Low</v>
      </c>
      <c r="AG51" s="9"/>
      <c r="AH51" s="22"/>
      <c r="AI51" s="22" t="str">
        <f t="shared" si="5"/>
        <v>Release</v>
      </c>
      <c r="AJ51" s="22"/>
      <c r="AK51" s="9"/>
    </row>
    <row r="52" spans="1:37" ht="60" hidden="1" customHeight="1">
      <c r="A52" s="9" t="s">
        <v>244</v>
      </c>
      <c r="B52" s="9" t="s">
        <v>194</v>
      </c>
      <c r="C52" s="9" t="s">
        <v>200</v>
      </c>
      <c r="D52" s="9" t="s">
        <v>106</v>
      </c>
      <c r="E52" s="9" t="s">
        <v>250</v>
      </c>
      <c r="F52" s="9" t="s">
        <v>251</v>
      </c>
      <c r="G52" s="9" t="s">
        <v>106</v>
      </c>
      <c r="H52" s="9" t="s">
        <v>252</v>
      </c>
      <c r="I52" s="9" t="s">
        <v>253</v>
      </c>
      <c r="J52" s="11" t="s">
        <v>41</v>
      </c>
      <c r="K52" s="11">
        <v>23</v>
      </c>
      <c r="L52" s="11" t="s">
        <v>42</v>
      </c>
      <c r="M52" s="9">
        <v>0</v>
      </c>
      <c r="N52" s="9" t="s">
        <v>106</v>
      </c>
      <c r="O52" s="9" t="s">
        <v>252</v>
      </c>
      <c r="P52" s="9" t="s">
        <v>253</v>
      </c>
      <c r="Q52" s="11" t="s">
        <v>41</v>
      </c>
      <c r="R52" s="11">
        <v>23</v>
      </c>
      <c r="S52" s="11" t="s">
        <v>42</v>
      </c>
      <c r="T52" s="9">
        <v>0</v>
      </c>
      <c r="U52" s="9" t="s">
        <v>42</v>
      </c>
      <c r="V52" s="9">
        <v>0</v>
      </c>
      <c r="W52" s="11" t="s">
        <v>42</v>
      </c>
      <c r="X52" s="9" t="s">
        <v>43</v>
      </c>
      <c r="Y52" s="9">
        <v>0</v>
      </c>
      <c r="Z52" s="9"/>
      <c r="AA52" s="9"/>
      <c r="AB52" s="11">
        <f t="shared" si="1"/>
        <v>0</v>
      </c>
      <c r="AC52" s="11">
        <f t="shared" si="2"/>
        <v>0</v>
      </c>
      <c r="AD52" s="15">
        <v>0</v>
      </c>
      <c r="AE52" s="18">
        <f t="shared" si="3"/>
        <v>0</v>
      </c>
      <c r="AF52" s="11" t="str">
        <f t="shared" si="4"/>
        <v>Low</v>
      </c>
      <c r="AG52" s="9"/>
      <c r="AH52" s="22"/>
      <c r="AI52" s="22" t="str">
        <f t="shared" si="5"/>
        <v>Release</v>
      </c>
      <c r="AJ52" s="22"/>
      <c r="AK52" s="9"/>
    </row>
    <row r="53" spans="1:37" ht="60" hidden="1" customHeight="1">
      <c r="A53" s="9" t="s">
        <v>244</v>
      </c>
      <c r="B53" s="9" t="s">
        <v>194</v>
      </c>
      <c r="C53" s="9" t="s">
        <v>195</v>
      </c>
      <c r="D53" s="9" t="s">
        <v>36</v>
      </c>
      <c r="E53" s="9" t="s">
        <v>254</v>
      </c>
      <c r="F53" s="9" t="s">
        <v>255</v>
      </c>
      <c r="G53" s="9" t="s">
        <v>36</v>
      </c>
      <c r="H53" s="9" t="s">
        <v>50</v>
      </c>
      <c r="I53" s="9" t="s">
        <v>51</v>
      </c>
      <c r="J53" s="11" t="s">
        <v>41</v>
      </c>
      <c r="K53" s="11">
        <v>21</v>
      </c>
      <c r="L53" s="11" t="s">
        <v>42</v>
      </c>
      <c r="M53" s="9">
        <v>0</v>
      </c>
      <c r="N53" s="9" t="s">
        <v>36</v>
      </c>
      <c r="O53" s="9" t="s">
        <v>50</v>
      </c>
      <c r="P53" s="9" t="s">
        <v>51</v>
      </c>
      <c r="Q53" s="11" t="s">
        <v>41</v>
      </c>
      <c r="R53" s="11">
        <v>21</v>
      </c>
      <c r="S53" s="11" t="s">
        <v>42</v>
      </c>
      <c r="T53" s="9">
        <v>0</v>
      </c>
      <c r="U53" s="9" t="s">
        <v>42</v>
      </c>
      <c r="V53" s="9">
        <v>0</v>
      </c>
      <c r="W53" s="11" t="s">
        <v>42</v>
      </c>
      <c r="X53" s="9" t="s">
        <v>43</v>
      </c>
      <c r="Y53" s="9">
        <v>0</v>
      </c>
      <c r="Z53" s="9"/>
      <c r="AA53" s="9"/>
      <c r="AB53" s="11">
        <f t="shared" si="1"/>
        <v>0</v>
      </c>
      <c r="AC53" s="11">
        <f t="shared" si="2"/>
        <v>0</v>
      </c>
      <c r="AD53" s="15">
        <v>0</v>
      </c>
      <c r="AE53" s="18">
        <f t="shared" si="3"/>
        <v>0</v>
      </c>
      <c r="AF53" s="11" t="str">
        <f t="shared" si="4"/>
        <v>Low</v>
      </c>
      <c r="AG53" s="9"/>
      <c r="AH53" s="22"/>
      <c r="AI53" s="22" t="str">
        <f t="shared" si="5"/>
        <v>Release</v>
      </c>
      <c r="AJ53" s="22"/>
      <c r="AK53" s="9"/>
    </row>
    <row r="54" spans="1:37" ht="60" hidden="1" customHeight="1">
      <c r="A54" s="9" t="s">
        <v>244</v>
      </c>
      <c r="B54" s="9" t="s">
        <v>194</v>
      </c>
      <c r="C54" s="9" t="s">
        <v>200</v>
      </c>
      <c r="D54" s="9" t="s">
        <v>245</v>
      </c>
      <c r="E54" s="9" t="s">
        <v>256</v>
      </c>
      <c r="F54" s="9" t="s">
        <v>257</v>
      </c>
      <c r="G54" s="9" t="s">
        <v>245</v>
      </c>
      <c r="H54" s="9" t="s">
        <v>248</v>
      </c>
      <c r="I54" s="9" t="s">
        <v>249</v>
      </c>
      <c r="J54" s="11" t="s">
        <v>41</v>
      </c>
      <c r="K54" s="11">
        <v>23</v>
      </c>
      <c r="L54" s="11" t="s">
        <v>42</v>
      </c>
      <c r="M54" s="9">
        <v>0</v>
      </c>
      <c r="N54" s="9" t="s">
        <v>245</v>
      </c>
      <c r="O54" s="9" t="s">
        <v>248</v>
      </c>
      <c r="P54" s="9" t="s">
        <v>249</v>
      </c>
      <c r="Q54" s="11" t="s">
        <v>41</v>
      </c>
      <c r="R54" s="11">
        <v>23</v>
      </c>
      <c r="S54" s="11" t="s">
        <v>42</v>
      </c>
      <c r="T54" s="9">
        <v>0</v>
      </c>
      <c r="U54" s="9" t="s">
        <v>42</v>
      </c>
      <c r="V54" s="9">
        <v>0</v>
      </c>
      <c r="W54" s="11" t="s">
        <v>42</v>
      </c>
      <c r="X54" s="9" t="s">
        <v>43</v>
      </c>
      <c r="Y54" s="9">
        <v>0</v>
      </c>
      <c r="Z54" s="9"/>
      <c r="AA54" s="9"/>
      <c r="AB54" s="11">
        <f t="shared" si="1"/>
        <v>0</v>
      </c>
      <c r="AC54" s="11">
        <f t="shared" si="2"/>
        <v>0</v>
      </c>
      <c r="AD54" s="15">
        <v>0</v>
      </c>
      <c r="AE54" s="18">
        <f t="shared" si="3"/>
        <v>0</v>
      </c>
      <c r="AF54" s="11" t="str">
        <f t="shared" si="4"/>
        <v>Low</v>
      </c>
      <c r="AG54" s="9"/>
      <c r="AH54" s="22"/>
      <c r="AI54" s="22" t="str">
        <f t="shared" si="5"/>
        <v>Release</v>
      </c>
      <c r="AJ54" s="22"/>
      <c r="AK54" s="9"/>
    </row>
    <row r="55" spans="1:37" ht="60" hidden="1" customHeight="1">
      <c r="A55" s="9" t="s">
        <v>244</v>
      </c>
      <c r="B55" s="9" t="s">
        <v>194</v>
      </c>
      <c r="C55" s="9" t="s">
        <v>195</v>
      </c>
      <c r="D55" s="9" t="s">
        <v>106</v>
      </c>
      <c r="E55" s="9" t="s">
        <v>258</v>
      </c>
      <c r="F55" s="9" t="s">
        <v>259</v>
      </c>
      <c r="G55" s="9" t="s">
        <v>106</v>
      </c>
      <c r="H55" s="9" t="s">
        <v>252</v>
      </c>
      <c r="I55" s="9" t="s">
        <v>253</v>
      </c>
      <c r="J55" s="11" t="s">
        <v>41</v>
      </c>
      <c r="K55" s="11">
        <v>21</v>
      </c>
      <c r="L55" s="11" t="s">
        <v>42</v>
      </c>
      <c r="M55" s="9">
        <v>0</v>
      </c>
      <c r="N55" s="9" t="s">
        <v>106</v>
      </c>
      <c r="O55" s="9" t="s">
        <v>252</v>
      </c>
      <c r="P55" s="9" t="s">
        <v>253</v>
      </c>
      <c r="Q55" s="11" t="s">
        <v>41</v>
      </c>
      <c r="R55" s="11">
        <v>21</v>
      </c>
      <c r="S55" s="11" t="s">
        <v>42</v>
      </c>
      <c r="T55" s="9">
        <v>0</v>
      </c>
      <c r="U55" s="9" t="s">
        <v>42</v>
      </c>
      <c r="V55" s="9">
        <v>0</v>
      </c>
      <c r="W55" s="11" t="s">
        <v>42</v>
      </c>
      <c r="X55" s="9" t="s">
        <v>43</v>
      </c>
      <c r="Y55" s="9">
        <v>0</v>
      </c>
      <c r="Z55" s="9"/>
      <c r="AA55" s="9"/>
      <c r="AB55" s="11">
        <f t="shared" si="1"/>
        <v>0</v>
      </c>
      <c r="AC55" s="11">
        <f t="shared" si="2"/>
        <v>0</v>
      </c>
      <c r="AD55" s="15">
        <v>0</v>
      </c>
      <c r="AE55" s="18">
        <f t="shared" si="3"/>
        <v>0</v>
      </c>
      <c r="AF55" s="11" t="str">
        <f t="shared" si="4"/>
        <v>Low</v>
      </c>
      <c r="AG55" s="9"/>
      <c r="AH55" s="22"/>
      <c r="AI55" s="22" t="str">
        <f t="shared" si="5"/>
        <v>Release</v>
      </c>
      <c r="AJ55" s="22"/>
      <c r="AK55" s="9"/>
    </row>
    <row r="56" spans="1:37" ht="60" hidden="1" customHeight="1">
      <c r="A56" s="9" t="s">
        <v>244</v>
      </c>
      <c r="B56" s="9" t="s">
        <v>194</v>
      </c>
      <c r="C56" s="9" t="s">
        <v>200</v>
      </c>
      <c r="D56" s="9" t="s">
        <v>36</v>
      </c>
      <c r="E56" s="9" t="s">
        <v>260</v>
      </c>
      <c r="F56" s="9" t="s">
        <v>261</v>
      </c>
      <c r="G56" s="9" t="s">
        <v>36</v>
      </c>
      <c r="H56" s="9" t="s">
        <v>50</v>
      </c>
      <c r="I56" s="9" t="s">
        <v>51</v>
      </c>
      <c r="J56" s="11" t="s">
        <v>41</v>
      </c>
      <c r="K56" s="11">
        <v>23</v>
      </c>
      <c r="L56" s="11" t="s">
        <v>42</v>
      </c>
      <c r="M56" s="9">
        <v>0</v>
      </c>
      <c r="N56" s="9" t="s">
        <v>36</v>
      </c>
      <c r="O56" s="9" t="s">
        <v>50</v>
      </c>
      <c r="P56" s="9" t="s">
        <v>51</v>
      </c>
      <c r="Q56" s="11" t="s">
        <v>41</v>
      </c>
      <c r="R56" s="11">
        <v>23</v>
      </c>
      <c r="S56" s="11" t="s">
        <v>42</v>
      </c>
      <c r="T56" s="9">
        <v>0</v>
      </c>
      <c r="U56" s="9" t="s">
        <v>42</v>
      </c>
      <c r="V56" s="9">
        <v>0</v>
      </c>
      <c r="W56" s="11" t="s">
        <v>42</v>
      </c>
      <c r="X56" s="9" t="s">
        <v>43</v>
      </c>
      <c r="Y56" s="9">
        <v>0</v>
      </c>
      <c r="Z56" s="9"/>
      <c r="AA56" s="9"/>
      <c r="AB56" s="11">
        <f t="shared" si="1"/>
        <v>0</v>
      </c>
      <c r="AC56" s="11">
        <f t="shared" si="2"/>
        <v>0</v>
      </c>
      <c r="AD56" s="15">
        <v>0</v>
      </c>
      <c r="AE56" s="18">
        <f t="shared" si="3"/>
        <v>0</v>
      </c>
      <c r="AF56" s="11" t="str">
        <f t="shared" si="4"/>
        <v>Low</v>
      </c>
      <c r="AG56" s="9"/>
      <c r="AH56" s="22"/>
      <c r="AI56" s="22" t="str">
        <f t="shared" si="5"/>
        <v>Release</v>
      </c>
      <c r="AJ56" s="22"/>
      <c r="AK56" s="9"/>
    </row>
    <row r="57" spans="1:37" ht="60" hidden="1" customHeight="1">
      <c r="A57" s="9" t="s">
        <v>244</v>
      </c>
      <c r="B57" s="9" t="s">
        <v>194</v>
      </c>
      <c r="C57" s="9" t="s">
        <v>195</v>
      </c>
      <c r="D57" s="9" t="s">
        <v>106</v>
      </c>
      <c r="E57" s="9" t="s">
        <v>262</v>
      </c>
      <c r="F57" s="9" t="s">
        <v>263</v>
      </c>
      <c r="G57" s="9" t="s">
        <v>106</v>
      </c>
      <c r="H57" s="9" t="s">
        <v>127</v>
      </c>
      <c r="I57" s="9" t="s">
        <v>128</v>
      </c>
      <c r="J57" s="11" t="s">
        <v>57</v>
      </c>
      <c r="K57" s="11">
        <v>9</v>
      </c>
      <c r="L57" s="11" t="s">
        <v>42</v>
      </c>
      <c r="M57" s="9">
        <v>55</v>
      </c>
      <c r="N57" s="9" t="s">
        <v>106</v>
      </c>
      <c r="O57" s="9" t="s">
        <v>127</v>
      </c>
      <c r="P57" s="9" t="s">
        <v>128</v>
      </c>
      <c r="Q57" s="11" t="s">
        <v>57</v>
      </c>
      <c r="R57" s="11">
        <v>9</v>
      </c>
      <c r="S57" s="11" t="s">
        <v>43</v>
      </c>
      <c r="T57" s="9">
        <v>60</v>
      </c>
      <c r="U57" s="9" t="s">
        <v>42</v>
      </c>
      <c r="V57" s="9">
        <v>0</v>
      </c>
      <c r="W57" s="11" t="s">
        <v>42</v>
      </c>
      <c r="X57" s="9" t="s">
        <v>43</v>
      </c>
      <c r="Y57" s="9">
        <v>1</v>
      </c>
      <c r="Z57" s="9" t="s">
        <v>71</v>
      </c>
      <c r="AA57" s="9" t="s">
        <v>264</v>
      </c>
      <c r="AB57" s="11">
        <f t="shared" si="1"/>
        <v>0</v>
      </c>
      <c r="AC57" s="11">
        <f t="shared" si="2"/>
        <v>60</v>
      </c>
      <c r="AD57" s="15">
        <v>0.44</v>
      </c>
      <c r="AE57" s="18">
        <f t="shared" si="3"/>
        <v>60</v>
      </c>
      <c r="AF57" s="11" t="str">
        <f t="shared" si="4"/>
        <v>Medium</v>
      </c>
      <c r="AG57" s="9" t="s">
        <v>265</v>
      </c>
      <c r="AH57" s="22" t="s">
        <v>701</v>
      </c>
      <c r="AI57" s="22" t="str">
        <f t="shared" si="5"/>
        <v>Investigate</v>
      </c>
      <c r="AJ57" s="22" t="s">
        <v>702</v>
      </c>
      <c r="AK57" s="9" t="s">
        <v>266</v>
      </c>
    </row>
    <row r="58" spans="1:37" ht="60" hidden="1" customHeight="1">
      <c r="A58" s="9" t="s">
        <v>267</v>
      </c>
      <c r="B58" s="9" t="s">
        <v>194</v>
      </c>
      <c r="C58" s="9" t="s">
        <v>195</v>
      </c>
      <c r="D58" s="9" t="s">
        <v>142</v>
      </c>
      <c r="E58" s="9" t="s">
        <v>268</v>
      </c>
      <c r="F58" s="9" t="s">
        <v>269</v>
      </c>
      <c r="G58" s="9" t="s">
        <v>142</v>
      </c>
      <c r="H58" s="9" t="s">
        <v>270</v>
      </c>
      <c r="I58" s="9" t="s">
        <v>271</v>
      </c>
      <c r="J58" s="11" t="s">
        <v>57</v>
      </c>
      <c r="K58" s="11">
        <v>9</v>
      </c>
      <c r="L58" s="11" t="s">
        <v>42</v>
      </c>
      <c r="M58" s="9">
        <v>0</v>
      </c>
      <c r="N58" s="9" t="s">
        <v>142</v>
      </c>
      <c r="O58" s="9" t="s">
        <v>270</v>
      </c>
      <c r="P58" s="9" t="s">
        <v>271</v>
      </c>
      <c r="Q58" s="11" t="s">
        <v>57</v>
      </c>
      <c r="R58" s="11">
        <v>9</v>
      </c>
      <c r="S58" s="11" t="s">
        <v>42</v>
      </c>
      <c r="T58" s="9">
        <v>0</v>
      </c>
      <c r="U58" s="9" t="s">
        <v>42</v>
      </c>
      <c r="V58" s="9">
        <v>0</v>
      </c>
      <c r="W58" s="11" t="s">
        <v>42</v>
      </c>
      <c r="X58" s="9" t="s">
        <v>43</v>
      </c>
      <c r="Y58" s="9">
        <v>0</v>
      </c>
      <c r="Z58" s="9"/>
      <c r="AA58" s="9"/>
      <c r="AB58" s="11">
        <f t="shared" si="1"/>
        <v>0</v>
      </c>
      <c r="AC58" s="11">
        <f t="shared" si="2"/>
        <v>0</v>
      </c>
      <c r="AD58" s="15">
        <v>0</v>
      </c>
      <c r="AE58" s="18">
        <f t="shared" si="3"/>
        <v>0</v>
      </c>
      <c r="AF58" s="11" t="str">
        <f t="shared" si="4"/>
        <v>Low</v>
      </c>
      <c r="AG58" s="9"/>
      <c r="AH58" s="22"/>
      <c r="AI58" s="22" t="str">
        <f t="shared" si="5"/>
        <v>Release</v>
      </c>
      <c r="AJ58" s="22"/>
      <c r="AK58" s="9"/>
    </row>
    <row r="59" spans="1:37" ht="60" hidden="1" customHeight="1">
      <c r="A59" s="9" t="s">
        <v>267</v>
      </c>
      <c r="B59" s="9" t="s">
        <v>194</v>
      </c>
      <c r="C59" s="9" t="s">
        <v>200</v>
      </c>
      <c r="D59" s="9" t="s">
        <v>142</v>
      </c>
      <c r="E59" s="9" t="s">
        <v>272</v>
      </c>
      <c r="F59" s="9" t="s">
        <v>273</v>
      </c>
      <c r="G59" s="9" t="s">
        <v>142</v>
      </c>
      <c r="H59" s="9" t="s">
        <v>274</v>
      </c>
      <c r="I59" s="9" t="s">
        <v>275</v>
      </c>
      <c r="J59" s="11" t="s">
        <v>217</v>
      </c>
      <c r="K59" s="11">
        <v>0</v>
      </c>
      <c r="L59" s="11" t="s">
        <v>42</v>
      </c>
      <c r="M59" s="9">
        <v>0</v>
      </c>
      <c r="N59" s="9" t="s">
        <v>142</v>
      </c>
      <c r="O59" s="9" t="s">
        <v>274</v>
      </c>
      <c r="P59" s="9" t="s">
        <v>275</v>
      </c>
      <c r="Q59" s="11" t="s">
        <v>217</v>
      </c>
      <c r="R59" s="11">
        <v>0</v>
      </c>
      <c r="S59" s="11" t="s">
        <v>42</v>
      </c>
      <c r="T59" s="9">
        <v>0</v>
      </c>
      <c r="U59" s="9" t="s">
        <v>42</v>
      </c>
      <c r="V59" s="9">
        <v>0</v>
      </c>
      <c r="W59" s="11" t="s">
        <v>42</v>
      </c>
      <c r="X59" s="9" t="s">
        <v>43</v>
      </c>
      <c r="Y59" s="9">
        <v>0</v>
      </c>
      <c r="Z59" s="9"/>
      <c r="AA59" s="9"/>
      <c r="AB59" s="11">
        <f t="shared" si="1"/>
        <v>0</v>
      </c>
      <c r="AC59" s="11">
        <f t="shared" si="2"/>
        <v>0</v>
      </c>
      <c r="AD59" s="15">
        <v>0</v>
      </c>
      <c r="AE59" s="18">
        <f t="shared" si="3"/>
        <v>0</v>
      </c>
      <c r="AF59" s="11" t="str">
        <f t="shared" si="4"/>
        <v>Low</v>
      </c>
      <c r="AG59" s="9"/>
      <c r="AH59" s="22"/>
      <c r="AI59" s="22" t="str">
        <f t="shared" si="5"/>
        <v>Release</v>
      </c>
      <c r="AJ59" s="22"/>
      <c r="AK59" s="9"/>
    </row>
    <row r="60" spans="1:37" ht="60" hidden="1" customHeight="1">
      <c r="A60" s="9" t="s">
        <v>267</v>
      </c>
      <c r="B60" s="9" t="s">
        <v>194</v>
      </c>
      <c r="C60" s="9" t="s">
        <v>195</v>
      </c>
      <c r="D60" s="9" t="s">
        <v>133</v>
      </c>
      <c r="E60" s="9" t="s">
        <v>276</v>
      </c>
      <c r="F60" s="9" t="s">
        <v>277</v>
      </c>
      <c r="G60" s="9" t="s">
        <v>133</v>
      </c>
      <c r="H60" s="9" t="s">
        <v>278</v>
      </c>
      <c r="I60" s="9" t="s">
        <v>279</v>
      </c>
      <c r="J60" s="11" t="s">
        <v>57</v>
      </c>
      <c r="K60" s="11">
        <v>9</v>
      </c>
      <c r="L60" s="11" t="s">
        <v>42</v>
      </c>
      <c r="M60" s="9">
        <v>0</v>
      </c>
      <c r="N60" s="9" t="s">
        <v>133</v>
      </c>
      <c r="O60" s="9" t="s">
        <v>278</v>
      </c>
      <c r="P60" s="9" t="s">
        <v>279</v>
      </c>
      <c r="Q60" s="11" t="s">
        <v>57</v>
      </c>
      <c r="R60" s="11">
        <v>9</v>
      </c>
      <c r="S60" s="11" t="s">
        <v>42</v>
      </c>
      <c r="T60" s="9">
        <v>0</v>
      </c>
      <c r="U60" s="9" t="s">
        <v>42</v>
      </c>
      <c r="V60" s="9">
        <v>0</v>
      </c>
      <c r="W60" s="11" t="s">
        <v>42</v>
      </c>
      <c r="X60" s="9" t="s">
        <v>43</v>
      </c>
      <c r="Y60" s="9">
        <v>0</v>
      </c>
      <c r="Z60" s="9"/>
      <c r="AA60" s="9"/>
      <c r="AB60" s="11">
        <f t="shared" si="1"/>
        <v>0</v>
      </c>
      <c r="AC60" s="11">
        <f t="shared" si="2"/>
        <v>0</v>
      </c>
      <c r="AD60" s="15">
        <v>0</v>
      </c>
      <c r="AE60" s="18">
        <f t="shared" si="3"/>
        <v>0</v>
      </c>
      <c r="AF60" s="11" t="str">
        <f t="shared" si="4"/>
        <v>Low</v>
      </c>
      <c r="AG60" s="9"/>
      <c r="AH60" s="22"/>
      <c r="AI60" s="22" t="str">
        <f t="shared" si="5"/>
        <v>Release</v>
      </c>
      <c r="AJ60" s="22"/>
      <c r="AK60" s="9"/>
    </row>
    <row r="61" spans="1:37" ht="60" hidden="1" customHeight="1">
      <c r="A61" s="9" t="s">
        <v>267</v>
      </c>
      <c r="B61" s="9" t="s">
        <v>194</v>
      </c>
      <c r="C61" s="9" t="s">
        <v>200</v>
      </c>
      <c r="D61" s="9" t="s">
        <v>142</v>
      </c>
      <c r="E61" s="9" t="s">
        <v>280</v>
      </c>
      <c r="F61" s="9" t="s">
        <v>281</v>
      </c>
      <c r="G61" s="9" t="s">
        <v>142</v>
      </c>
      <c r="H61" s="9" t="s">
        <v>270</v>
      </c>
      <c r="I61" s="9" t="s">
        <v>271</v>
      </c>
      <c r="J61" s="11" t="s">
        <v>217</v>
      </c>
      <c r="K61" s="11">
        <v>0</v>
      </c>
      <c r="L61" s="11" t="s">
        <v>42</v>
      </c>
      <c r="M61" s="9">
        <v>0</v>
      </c>
      <c r="N61" s="9" t="s">
        <v>142</v>
      </c>
      <c r="O61" s="9" t="s">
        <v>270</v>
      </c>
      <c r="P61" s="9" t="s">
        <v>271</v>
      </c>
      <c r="Q61" s="11" t="s">
        <v>217</v>
      </c>
      <c r="R61" s="11">
        <v>0</v>
      </c>
      <c r="S61" s="11" t="s">
        <v>42</v>
      </c>
      <c r="T61" s="9">
        <v>0</v>
      </c>
      <c r="U61" s="9" t="s">
        <v>42</v>
      </c>
      <c r="V61" s="9">
        <v>0</v>
      </c>
      <c r="W61" s="11" t="s">
        <v>42</v>
      </c>
      <c r="X61" s="9" t="s">
        <v>43</v>
      </c>
      <c r="Y61" s="9">
        <v>0</v>
      </c>
      <c r="Z61" s="9"/>
      <c r="AA61" s="9"/>
      <c r="AB61" s="11">
        <f t="shared" si="1"/>
        <v>0</v>
      </c>
      <c r="AC61" s="11">
        <f t="shared" si="2"/>
        <v>0</v>
      </c>
      <c r="AD61" s="15">
        <v>0</v>
      </c>
      <c r="AE61" s="18">
        <f t="shared" si="3"/>
        <v>0</v>
      </c>
      <c r="AF61" s="11" t="str">
        <f t="shared" si="4"/>
        <v>Low</v>
      </c>
      <c r="AG61" s="9"/>
      <c r="AH61" s="22"/>
      <c r="AI61" s="22" t="str">
        <f t="shared" si="5"/>
        <v>Release</v>
      </c>
      <c r="AJ61" s="22"/>
      <c r="AK61" s="9"/>
    </row>
    <row r="62" spans="1:37" ht="60" hidden="1" customHeight="1">
      <c r="A62" s="9" t="s">
        <v>267</v>
      </c>
      <c r="B62" s="9" t="s">
        <v>194</v>
      </c>
      <c r="C62" s="9" t="s">
        <v>195</v>
      </c>
      <c r="D62" s="9" t="s">
        <v>142</v>
      </c>
      <c r="E62" s="9" t="s">
        <v>282</v>
      </c>
      <c r="F62" s="9" t="s">
        <v>283</v>
      </c>
      <c r="G62" s="9" t="s">
        <v>142</v>
      </c>
      <c r="H62" s="9" t="s">
        <v>270</v>
      </c>
      <c r="I62" s="9" t="s">
        <v>271</v>
      </c>
      <c r="J62" s="11" t="s">
        <v>57</v>
      </c>
      <c r="K62" s="11">
        <v>9</v>
      </c>
      <c r="L62" s="11" t="s">
        <v>43</v>
      </c>
      <c r="M62" s="9">
        <v>75</v>
      </c>
      <c r="N62" s="9" t="s">
        <v>142</v>
      </c>
      <c r="O62" s="9" t="s">
        <v>274</v>
      </c>
      <c r="P62" s="9" t="s">
        <v>275</v>
      </c>
      <c r="Q62" s="11" t="s">
        <v>57</v>
      </c>
      <c r="R62" s="11">
        <v>9</v>
      </c>
      <c r="S62" s="11" t="s">
        <v>42</v>
      </c>
      <c r="T62" s="11">
        <v>0</v>
      </c>
      <c r="U62" s="9" t="s">
        <v>42</v>
      </c>
      <c r="V62" s="9">
        <v>0</v>
      </c>
      <c r="W62" s="11" t="s">
        <v>42</v>
      </c>
      <c r="X62" s="9" t="s">
        <v>42</v>
      </c>
      <c r="Y62" s="9">
        <v>1</v>
      </c>
      <c r="Z62" s="9" t="s">
        <v>58</v>
      </c>
      <c r="AA62" s="9" t="s">
        <v>284</v>
      </c>
      <c r="AB62" s="11">
        <f t="shared" si="1"/>
        <v>0</v>
      </c>
      <c r="AC62" s="11">
        <f t="shared" si="2"/>
        <v>75</v>
      </c>
      <c r="AD62" s="15">
        <v>0.2</v>
      </c>
      <c r="AE62" s="18">
        <f t="shared" si="3"/>
        <v>0</v>
      </c>
      <c r="AF62" s="11" t="str">
        <f t="shared" si="4"/>
        <v>Low</v>
      </c>
      <c r="AG62" s="9" t="s">
        <v>285</v>
      </c>
      <c r="AH62" s="23" t="s">
        <v>703</v>
      </c>
      <c r="AI62" s="22" t="str">
        <f t="shared" si="5"/>
        <v>Release</v>
      </c>
      <c r="AJ62" s="24" t="s">
        <v>322</v>
      </c>
      <c r="AK62" s="9" t="s">
        <v>286</v>
      </c>
    </row>
    <row r="63" spans="1:37" ht="60" hidden="1" customHeight="1">
      <c r="A63" s="9" t="s">
        <v>267</v>
      </c>
      <c r="B63" s="9" t="s">
        <v>194</v>
      </c>
      <c r="C63" s="9" t="s">
        <v>195</v>
      </c>
      <c r="D63" s="9" t="s">
        <v>142</v>
      </c>
      <c r="E63" s="9" t="s">
        <v>287</v>
      </c>
      <c r="F63" s="9" t="s">
        <v>288</v>
      </c>
      <c r="G63" s="9" t="s">
        <v>142</v>
      </c>
      <c r="H63" s="9" t="s">
        <v>274</v>
      </c>
      <c r="I63" s="9" t="s">
        <v>275</v>
      </c>
      <c r="J63" s="11" t="s">
        <v>57</v>
      </c>
      <c r="K63" s="11">
        <v>9</v>
      </c>
      <c r="L63" s="11" t="s">
        <v>42</v>
      </c>
      <c r="M63" s="9">
        <v>0</v>
      </c>
      <c r="N63" s="9" t="s">
        <v>142</v>
      </c>
      <c r="O63" s="9" t="s">
        <v>274</v>
      </c>
      <c r="P63" s="9" t="s">
        <v>275</v>
      </c>
      <c r="Q63" s="11" t="s">
        <v>57</v>
      </c>
      <c r="R63" s="11">
        <v>9</v>
      </c>
      <c r="S63" s="11" t="s">
        <v>42</v>
      </c>
      <c r="T63" s="9">
        <v>0</v>
      </c>
      <c r="U63" s="9" t="s">
        <v>42</v>
      </c>
      <c r="V63" s="9">
        <v>0</v>
      </c>
      <c r="W63" s="11" t="s">
        <v>42</v>
      </c>
      <c r="X63" s="9" t="s">
        <v>43</v>
      </c>
      <c r="Y63" s="9">
        <v>0</v>
      </c>
      <c r="Z63" s="9"/>
      <c r="AA63" s="9"/>
      <c r="AB63" s="11">
        <f t="shared" si="1"/>
        <v>0</v>
      </c>
      <c r="AC63" s="11">
        <f t="shared" si="2"/>
        <v>0</v>
      </c>
      <c r="AD63" s="15">
        <v>0</v>
      </c>
      <c r="AE63" s="18">
        <f t="shared" si="3"/>
        <v>0</v>
      </c>
      <c r="AF63" s="11" t="str">
        <f t="shared" si="4"/>
        <v>Low</v>
      </c>
      <c r="AG63" s="9"/>
      <c r="AH63" s="22"/>
      <c r="AI63" s="22" t="str">
        <f t="shared" si="5"/>
        <v>Release</v>
      </c>
      <c r="AJ63" s="22"/>
      <c r="AK63" s="9"/>
    </row>
    <row r="64" spans="1:37" ht="60" hidden="1" customHeight="1">
      <c r="A64" s="9" t="s">
        <v>267</v>
      </c>
      <c r="B64" s="9" t="s">
        <v>194</v>
      </c>
      <c r="C64" s="9" t="s">
        <v>200</v>
      </c>
      <c r="D64" s="9" t="s">
        <v>133</v>
      </c>
      <c r="E64" s="9" t="s">
        <v>289</v>
      </c>
      <c r="F64" s="9" t="s">
        <v>290</v>
      </c>
      <c r="G64" s="9" t="s">
        <v>133</v>
      </c>
      <c r="H64" s="9" t="s">
        <v>278</v>
      </c>
      <c r="I64" s="9" t="s">
        <v>279</v>
      </c>
      <c r="J64" s="11" t="s">
        <v>217</v>
      </c>
      <c r="K64" s="11">
        <v>0</v>
      </c>
      <c r="L64" s="11" t="s">
        <v>42</v>
      </c>
      <c r="M64" s="9">
        <v>0</v>
      </c>
      <c r="N64" s="9" t="s">
        <v>133</v>
      </c>
      <c r="O64" s="9" t="s">
        <v>278</v>
      </c>
      <c r="P64" s="9" t="s">
        <v>279</v>
      </c>
      <c r="Q64" s="11" t="s">
        <v>217</v>
      </c>
      <c r="R64" s="11">
        <v>0</v>
      </c>
      <c r="S64" s="11" t="s">
        <v>42</v>
      </c>
      <c r="T64" s="9">
        <v>0</v>
      </c>
      <c r="U64" s="9" t="s">
        <v>42</v>
      </c>
      <c r="V64" s="9">
        <v>0</v>
      </c>
      <c r="W64" s="11" t="s">
        <v>42</v>
      </c>
      <c r="X64" s="9" t="s">
        <v>43</v>
      </c>
      <c r="Y64" s="9">
        <v>0</v>
      </c>
      <c r="Z64" s="9"/>
      <c r="AA64" s="9"/>
      <c r="AB64" s="11">
        <f t="shared" si="1"/>
        <v>0</v>
      </c>
      <c r="AC64" s="11">
        <f t="shared" si="2"/>
        <v>0</v>
      </c>
      <c r="AD64" s="15">
        <v>0</v>
      </c>
      <c r="AE64" s="18">
        <f t="shared" si="3"/>
        <v>0</v>
      </c>
      <c r="AF64" s="11" t="str">
        <f t="shared" si="4"/>
        <v>Low</v>
      </c>
      <c r="AG64" s="9"/>
      <c r="AH64" s="22"/>
      <c r="AI64" s="22" t="str">
        <f t="shared" si="5"/>
        <v>Release</v>
      </c>
      <c r="AJ64" s="22"/>
      <c r="AK64" s="9"/>
    </row>
    <row r="65" spans="1:37" ht="60" hidden="1" customHeight="1">
      <c r="A65" s="9" t="s">
        <v>291</v>
      </c>
      <c r="B65" s="9" t="s">
        <v>194</v>
      </c>
      <c r="C65" s="9" t="s">
        <v>195</v>
      </c>
      <c r="D65" s="9" t="s">
        <v>165</v>
      </c>
      <c r="E65" s="9" t="s">
        <v>292</v>
      </c>
      <c r="F65" s="9" t="s">
        <v>293</v>
      </c>
      <c r="G65" s="9" t="s">
        <v>165</v>
      </c>
      <c r="H65" s="9" t="s">
        <v>182</v>
      </c>
      <c r="I65" s="9" t="s">
        <v>183</v>
      </c>
      <c r="J65" s="11" t="s">
        <v>57</v>
      </c>
      <c r="K65" s="11">
        <v>9</v>
      </c>
      <c r="L65" s="11" t="s">
        <v>42</v>
      </c>
      <c r="M65" s="9">
        <v>0</v>
      </c>
      <c r="N65" s="9" t="s">
        <v>165</v>
      </c>
      <c r="O65" s="9" t="s">
        <v>182</v>
      </c>
      <c r="P65" s="9" t="s">
        <v>183</v>
      </c>
      <c r="Q65" s="11" t="s">
        <v>57</v>
      </c>
      <c r="R65" s="11">
        <v>9</v>
      </c>
      <c r="S65" s="11" t="s">
        <v>42</v>
      </c>
      <c r="T65" s="9">
        <v>0</v>
      </c>
      <c r="U65" s="9" t="s">
        <v>42</v>
      </c>
      <c r="V65" s="9">
        <v>0</v>
      </c>
      <c r="W65" s="11" t="s">
        <v>42</v>
      </c>
      <c r="X65" s="9" t="s">
        <v>43</v>
      </c>
      <c r="Y65" s="9">
        <v>0</v>
      </c>
      <c r="Z65" s="9"/>
      <c r="AA65" s="9"/>
      <c r="AB65" s="11">
        <f t="shared" si="1"/>
        <v>0</v>
      </c>
      <c r="AC65" s="11">
        <f t="shared" si="2"/>
        <v>0</v>
      </c>
      <c r="AD65" s="15">
        <v>0</v>
      </c>
      <c r="AE65" s="18">
        <f t="shared" si="3"/>
        <v>0</v>
      </c>
      <c r="AF65" s="11" t="str">
        <f t="shared" si="4"/>
        <v>Low</v>
      </c>
      <c r="AG65" s="9"/>
      <c r="AH65" s="22"/>
      <c r="AI65" s="22" t="str">
        <f t="shared" si="5"/>
        <v>Release</v>
      </c>
      <c r="AJ65" s="22"/>
      <c r="AK65" s="9"/>
    </row>
    <row r="66" spans="1:37" ht="60" hidden="1" customHeight="1">
      <c r="A66" s="9" t="s">
        <v>291</v>
      </c>
      <c r="B66" s="9" t="s">
        <v>194</v>
      </c>
      <c r="C66" s="9" t="s">
        <v>200</v>
      </c>
      <c r="D66" s="9" t="s">
        <v>294</v>
      </c>
      <c r="E66" s="9" t="s">
        <v>295</v>
      </c>
      <c r="F66" s="9" t="s">
        <v>296</v>
      </c>
      <c r="G66" s="9" t="s">
        <v>294</v>
      </c>
      <c r="H66" s="9" t="s">
        <v>297</v>
      </c>
      <c r="I66" s="9" t="s">
        <v>298</v>
      </c>
      <c r="J66" s="11" t="s">
        <v>217</v>
      </c>
      <c r="K66" s="11">
        <v>0</v>
      </c>
      <c r="L66" s="11" t="s">
        <v>42</v>
      </c>
      <c r="M66" s="9">
        <v>0</v>
      </c>
      <c r="N66" s="9" t="s">
        <v>294</v>
      </c>
      <c r="O66" s="9" t="s">
        <v>297</v>
      </c>
      <c r="P66" s="9" t="s">
        <v>298</v>
      </c>
      <c r="Q66" s="11" t="s">
        <v>217</v>
      </c>
      <c r="R66" s="11">
        <v>0</v>
      </c>
      <c r="S66" s="11" t="s">
        <v>42</v>
      </c>
      <c r="T66" s="9">
        <v>0</v>
      </c>
      <c r="U66" s="9" t="s">
        <v>42</v>
      </c>
      <c r="V66" s="9">
        <v>0</v>
      </c>
      <c r="W66" s="11" t="s">
        <v>42</v>
      </c>
      <c r="X66" s="9" t="s">
        <v>43</v>
      </c>
      <c r="Y66" s="9">
        <v>0</v>
      </c>
      <c r="Z66" s="9"/>
      <c r="AA66" s="9"/>
      <c r="AB66" s="11">
        <f t="shared" si="1"/>
        <v>0</v>
      </c>
      <c r="AC66" s="11">
        <f t="shared" si="2"/>
        <v>0</v>
      </c>
      <c r="AD66" s="15">
        <v>0</v>
      </c>
      <c r="AE66" s="18">
        <f t="shared" si="3"/>
        <v>0</v>
      </c>
      <c r="AF66" s="11" t="str">
        <f t="shared" si="4"/>
        <v>Low</v>
      </c>
      <c r="AG66" s="9"/>
      <c r="AH66" s="22"/>
      <c r="AI66" s="22" t="str">
        <f t="shared" si="5"/>
        <v>Release</v>
      </c>
      <c r="AJ66" s="22"/>
      <c r="AK66" s="9"/>
    </row>
    <row r="67" spans="1:37" ht="60" hidden="1" customHeight="1">
      <c r="A67" s="9" t="s">
        <v>291</v>
      </c>
      <c r="B67" s="9" t="s">
        <v>194</v>
      </c>
      <c r="C67" s="9" t="s">
        <v>195</v>
      </c>
      <c r="D67" s="9" t="s">
        <v>294</v>
      </c>
      <c r="E67" s="9" t="s">
        <v>299</v>
      </c>
      <c r="F67" s="9" t="s">
        <v>300</v>
      </c>
      <c r="G67" s="9" t="s">
        <v>294</v>
      </c>
      <c r="H67" s="9" t="s">
        <v>301</v>
      </c>
      <c r="I67" s="9" t="s">
        <v>302</v>
      </c>
      <c r="J67" s="11" t="s">
        <v>57</v>
      </c>
      <c r="K67" s="11">
        <v>9</v>
      </c>
      <c r="L67" s="11" t="s">
        <v>42</v>
      </c>
      <c r="M67" s="9">
        <v>0</v>
      </c>
      <c r="N67" s="9" t="s">
        <v>294</v>
      </c>
      <c r="O67" s="9" t="s">
        <v>301</v>
      </c>
      <c r="P67" s="9" t="s">
        <v>302</v>
      </c>
      <c r="Q67" s="11" t="s">
        <v>57</v>
      </c>
      <c r="R67" s="11">
        <v>9</v>
      </c>
      <c r="S67" s="11" t="s">
        <v>42</v>
      </c>
      <c r="T67" s="9">
        <v>0</v>
      </c>
      <c r="U67" s="9" t="s">
        <v>42</v>
      </c>
      <c r="V67" s="9">
        <v>0</v>
      </c>
      <c r="W67" s="11" t="s">
        <v>42</v>
      </c>
      <c r="X67" s="9" t="s">
        <v>43</v>
      </c>
      <c r="Y67" s="9">
        <v>0</v>
      </c>
      <c r="Z67" s="9"/>
      <c r="AA67" s="9"/>
      <c r="AB67" s="11">
        <f t="shared" ref="AB67:AB130" si="6">R67-K67</f>
        <v>0</v>
      </c>
      <c r="AC67" s="11">
        <f t="shared" ref="AC67:AC130" si="7">IF(Z67="",M67*T67*V67,IF(Z67="VAT Misclassification",M67,IF(Z67="VAT Product Description Vague",T67,IF(Z67="Supplier Risk",V67,IF(Z67="VAT Misclassification, Supplier Risk",MAX(M67,V67)+10,IF(Z67="VAT Product Description Vague, Supplier Risk",MAX(T67,V67)+10,9999))))))</f>
        <v>0</v>
      </c>
      <c r="AD67" s="15">
        <v>0</v>
      </c>
      <c r="AE67" s="18">
        <f t="shared" ref="AE67:AE130" si="8">IF(Z67="",M67*T67*V67,IF(Z67="VAT Misclassification",IF(AB67&gt;0,M67,M67*0),IF(Z67="VAT Product Description Vague",T67,IF(Z67="Supplier Risk",V67,IF(Z67="VAT Misclassification, Supplier Risk",IF(V67&gt;70,V67,IF(AB67&gt;0,M67,M67*0)),IF(Z67="VAT Product Description Vague, Supplier Risk",MAX(T67*100%+V67*100%),9999))))))</f>
        <v>0</v>
      </c>
      <c r="AF67" s="11" t="str">
        <f t="shared" ref="AF67:AF130" si="9">IF(AE67&lt;30,"Low",IF(AE67&lt;80,"Medium","High"))</f>
        <v>Low</v>
      </c>
      <c r="AG67" s="9"/>
      <c r="AH67" s="22"/>
      <c r="AI67" s="22" t="str">
        <f t="shared" ref="AI67:AI130" si="10">IF(AE67&lt;30,"Release",IF(AE67&lt;80,"Investigate","Retain"))</f>
        <v>Release</v>
      </c>
      <c r="AJ67" s="22"/>
      <c r="AK67" s="9"/>
    </row>
    <row r="68" spans="1:37" ht="60" hidden="1" customHeight="1">
      <c r="A68" s="9" t="s">
        <v>291</v>
      </c>
      <c r="B68" s="9" t="s">
        <v>194</v>
      </c>
      <c r="C68" s="9" t="s">
        <v>200</v>
      </c>
      <c r="D68" s="9" t="s">
        <v>165</v>
      </c>
      <c r="E68" s="9" t="s">
        <v>303</v>
      </c>
      <c r="F68" s="9" t="s">
        <v>304</v>
      </c>
      <c r="G68" s="9" t="s">
        <v>165</v>
      </c>
      <c r="H68" s="9" t="s">
        <v>182</v>
      </c>
      <c r="I68" s="9" t="s">
        <v>183</v>
      </c>
      <c r="J68" s="11" t="s">
        <v>217</v>
      </c>
      <c r="K68" s="11">
        <v>0</v>
      </c>
      <c r="L68" s="11" t="s">
        <v>42</v>
      </c>
      <c r="M68" s="9">
        <v>0</v>
      </c>
      <c r="N68" s="9" t="s">
        <v>165</v>
      </c>
      <c r="O68" s="9" t="s">
        <v>182</v>
      </c>
      <c r="P68" s="9" t="s">
        <v>183</v>
      </c>
      <c r="Q68" s="11" t="s">
        <v>217</v>
      </c>
      <c r="R68" s="11">
        <v>0</v>
      </c>
      <c r="S68" s="11" t="s">
        <v>42</v>
      </c>
      <c r="T68" s="9">
        <v>0</v>
      </c>
      <c r="U68" s="9" t="s">
        <v>42</v>
      </c>
      <c r="V68" s="9">
        <v>0</v>
      </c>
      <c r="W68" s="11" t="s">
        <v>42</v>
      </c>
      <c r="X68" s="9" t="s">
        <v>43</v>
      </c>
      <c r="Y68" s="9">
        <v>0</v>
      </c>
      <c r="Z68" s="9"/>
      <c r="AA68" s="9"/>
      <c r="AB68" s="11">
        <f t="shared" si="6"/>
        <v>0</v>
      </c>
      <c r="AC68" s="11">
        <f t="shared" si="7"/>
        <v>0</v>
      </c>
      <c r="AD68" s="15">
        <v>0</v>
      </c>
      <c r="AE68" s="18">
        <f t="shared" si="8"/>
        <v>0</v>
      </c>
      <c r="AF68" s="11" t="str">
        <f t="shared" si="9"/>
        <v>Low</v>
      </c>
      <c r="AG68" s="9"/>
      <c r="AH68" s="22"/>
      <c r="AI68" s="22" t="str">
        <f t="shared" si="10"/>
        <v>Release</v>
      </c>
      <c r="AJ68" s="22"/>
      <c r="AK68" s="9"/>
    </row>
    <row r="69" spans="1:37" ht="60" hidden="1" customHeight="1">
      <c r="A69" s="9" t="s">
        <v>291</v>
      </c>
      <c r="B69" s="9" t="s">
        <v>194</v>
      </c>
      <c r="C69" s="9" t="s">
        <v>200</v>
      </c>
      <c r="D69" s="9" t="s">
        <v>294</v>
      </c>
      <c r="E69" s="9" t="s">
        <v>305</v>
      </c>
      <c r="F69" s="9" t="s">
        <v>306</v>
      </c>
      <c r="G69" s="9" t="s">
        <v>294</v>
      </c>
      <c r="H69" s="9" t="s">
        <v>301</v>
      </c>
      <c r="I69" s="9" t="s">
        <v>302</v>
      </c>
      <c r="J69" s="11" t="s">
        <v>217</v>
      </c>
      <c r="K69" s="11">
        <v>0</v>
      </c>
      <c r="L69" s="11" t="s">
        <v>43</v>
      </c>
      <c r="M69" s="9">
        <v>75</v>
      </c>
      <c r="N69" s="9" t="s">
        <v>294</v>
      </c>
      <c r="O69" s="9" t="s">
        <v>307</v>
      </c>
      <c r="P69" s="9" t="s">
        <v>308</v>
      </c>
      <c r="Q69" s="11" t="s">
        <v>41</v>
      </c>
      <c r="R69" s="11">
        <v>23</v>
      </c>
      <c r="S69" s="11" t="s">
        <v>42</v>
      </c>
      <c r="T69" s="9">
        <v>0</v>
      </c>
      <c r="U69" s="9" t="s">
        <v>43</v>
      </c>
      <c r="V69" s="9">
        <v>40</v>
      </c>
      <c r="W69" s="11" t="s">
        <v>43</v>
      </c>
      <c r="X69" s="9" t="s">
        <v>42</v>
      </c>
      <c r="Y69" s="9">
        <v>2</v>
      </c>
      <c r="Z69" s="9" t="s">
        <v>101</v>
      </c>
      <c r="AA69" s="9" t="s">
        <v>309</v>
      </c>
      <c r="AB69" s="11">
        <f t="shared" si="6"/>
        <v>23</v>
      </c>
      <c r="AC69" s="11">
        <f t="shared" si="7"/>
        <v>85</v>
      </c>
      <c r="AD69" s="15">
        <v>0.79</v>
      </c>
      <c r="AE69" s="18">
        <f t="shared" si="8"/>
        <v>75</v>
      </c>
      <c r="AF69" s="11" t="str">
        <f t="shared" si="9"/>
        <v>Medium</v>
      </c>
      <c r="AG69" s="9" t="s">
        <v>310</v>
      </c>
      <c r="AH69" s="23" t="s">
        <v>703</v>
      </c>
      <c r="AI69" s="22" t="str">
        <f t="shared" si="10"/>
        <v>Investigate</v>
      </c>
      <c r="AJ69" s="22" t="s">
        <v>61</v>
      </c>
      <c r="AK69" s="9" t="s">
        <v>311</v>
      </c>
    </row>
    <row r="70" spans="1:37" ht="60" hidden="1" customHeight="1">
      <c r="A70" s="9" t="s">
        <v>291</v>
      </c>
      <c r="B70" s="9" t="s">
        <v>194</v>
      </c>
      <c r="C70" s="9" t="s">
        <v>195</v>
      </c>
      <c r="D70" s="9" t="s">
        <v>294</v>
      </c>
      <c r="E70" s="9" t="s">
        <v>312</v>
      </c>
      <c r="F70" s="9" t="s">
        <v>313</v>
      </c>
      <c r="G70" s="9" t="s">
        <v>294</v>
      </c>
      <c r="H70" s="9" t="s">
        <v>297</v>
      </c>
      <c r="I70" s="9" t="s">
        <v>298</v>
      </c>
      <c r="J70" s="11" t="s">
        <v>57</v>
      </c>
      <c r="K70" s="11">
        <v>9</v>
      </c>
      <c r="L70" s="11" t="s">
        <v>42</v>
      </c>
      <c r="M70" s="9">
        <v>0</v>
      </c>
      <c r="N70" s="9" t="s">
        <v>294</v>
      </c>
      <c r="O70" s="9" t="s">
        <v>297</v>
      </c>
      <c r="P70" s="9" t="s">
        <v>298</v>
      </c>
      <c r="Q70" s="11" t="s">
        <v>57</v>
      </c>
      <c r="R70" s="11">
        <v>9</v>
      </c>
      <c r="S70" s="11" t="s">
        <v>42</v>
      </c>
      <c r="T70" s="9">
        <v>0</v>
      </c>
      <c r="U70" s="9" t="s">
        <v>42</v>
      </c>
      <c r="V70" s="9">
        <v>0</v>
      </c>
      <c r="W70" s="11" t="s">
        <v>42</v>
      </c>
      <c r="X70" s="9" t="s">
        <v>43</v>
      </c>
      <c r="Y70" s="9">
        <v>0</v>
      </c>
      <c r="Z70" s="9"/>
      <c r="AA70" s="9"/>
      <c r="AB70" s="11">
        <f t="shared" si="6"/>
        <v>0</v>
      </c>
      <c r="AC70" s="11">
        <f t="shared" si="7"/>
        <v>0</v>
      </c>
      <c r="AD70" s="15">
        <v>0</v>
      </c>
      <c r="AE70" s="18">
        <f t="shared" si="8"/>
        <v>0</v>
      </c>
      <c r="AF70" s="11" t="str">
        <f t="shared" si="9"/>
        <v>Low</v>
      </c>
      <c r="AG70" s="9"/>
      <c r="AH70" s="22"/>
      <c r="AI70" s="22" t="str">
        <f t="shared" si="10"/>
        <v>Release</v>
      </c>
      <c r="AJ70" s="22"/>
      <c r="AK70" s="9"/>
    </row>
    <row r="71" spans="1:37" ht="60" customHeight="1">
      <c r="A71" s="9" t="s">
        <v>291</v>
      </c>
      <c r="B71" s="9" t="s">
        <v>194</v>
      </c>
      <c r="C71" s="9" t="s">
        <v>195</v>
      </c>
      <c r="D71" s="9" t="s">
        <v>165</v>
      </c>
      <c r="E71" s="9" t="s">
        <v>314</v>
      </c>
      <c r="F71" s="9" t="s">
        <v>315</v>
      </c>
      <c r="G71" s="9" t="s">
        <v>165</v>
      </c>
      <c r="H71" s="9" t="s">
        <v>182</v>
      </c>
      <c r="I71" s="9" t="s">
        <v>183</v>
      </c>
      <c r="J71" s="11" t="s">
        <v>57</v>
      </c>
      <c r="K71" s="11">
        <v>9</v>
      </c>
      <c r="L71" s="11" t="s">
        <v>42</v>
      </c>
      <c r="M71" s="9">
        <v>0</v>
      </c>
      <c r="N71" s="9" t="s">
        <v>165</v>
      </c>
      <c r="O71" s="9" t="s">
        <v>182</v>
      </c>
      <c r="P71" s="9" t="s">
        <v>183</v>
      </c>
      <c r="Q71" s="11" t="s">
        <v>57</v>
      </c>
      <c r="R71" s="11">
        <v>9</v>
      </c>
      <c r="S71" s="11" t="s">
        <v>42</v>
      </c>
      <c r="T71" s="9">
        <v>0</v>
      </c>
      <c r="U71" s="9" t="s">
        <v>43</v>
      </c>
      <c r="V71" s="9">
        <v>90</v>
      </c>
      <c r="W71" s="11" t="s">
        <v>43</v>
      </c>
      <c r="X71" s="9" t="s">
        <v>43</v>
      </c>
      <c r="Y71" s="9">
        <v>1</v>
      </c>
      <c r="Z71" s="9" t="s">
        <v>91</v>
      </c>
      <c r="AA71" s="9" t="s">
        <v>316</v>
      </c>
      <c r="AB71" s="11">
        <f t="shared" si="6"/>
        <v>0</v>
      </c>
      <c r="AC71" s="11">
        <f t="shared" si="7"/>
        <v>90</v>
      </c>
      <c r="AD71" s="15">
        <v>0.85</v>
      </c>
      <c r="AE71" s="18">
        <f t="shared" si="8"/>
        <v>90</v>
      </c>
      <c r="AF71" s="11" t="str">
        <f t="shared" si="9"/>
        <v>High</v>
      </c>
      <c r="AG71" s="9" t="s">
        <v>93</v>
      </c>
      <c r="AH71" s="22" t="s">
        <v>696</v>
      </c>
      <c r="AI71" s="22" t="str">
        <f t="shared" si="10"/>
        <v>Retain</v>
      </c>
      <c r="AJ71" s="22" t="s">
        <v>702</v>
      </c>
      <c r="AK71" s="9" t="s">
        <v>317</v>
      </c>
    </row>
    <row r="72" spans="1:37" ht="60" hidden="1" customHeight="1">
      <c r="A72" s="10" t="s">
        <v>164</v>
      </c>
      <c r="B72" s="10" t="s">
        <v>34</v>
      </c>
      <c r="C72" s="10" t="s">
        <v>52</v>
      </c>
      <c r="D72" s="10" t="s">
        <v>165</v>
      </c>
      <c r="E72" s="10" t="s">
        <v>318</v>
      </c>
      <c r="F72" s="10" t="s">
        <v>319</v>
      </c>
      <c r="G72" s="10" t="s">
        <v>165</v>
      </c>
      <c r="H72" s="10" t="s">
        <v>168</v>
      </c>
      <c r="I72" s="10" t="s">
        <v>169</v>
      </c>
      <c r="J72" s="12" t="s">
        <v>41</v>
      </c>
      <c r="K72" s="12">
        <v>20</v>
      </c>
      <c r="L72" s="12" t="s">
        <v>43</v>
      </c>
      <c r="M72" s="10">
        <v>40</v>
      </c>
      <c r="N72" s="10" t="s">
        <v>165</v>
      </c>
      <c r="O72" s="10" t="s">
        <v>176</v>
      </c>
      <c r="P72" s="10" t="s">
        <v>177</v>
      </c>
      <c r="Q72" s="12" t="s">
        <v>41</v>
      </c>
      <c r="R72" s="12">
        <v>20</v>
      </c>
      <c r="S72" s="12" t="s">
        <v>42</v>
      </c>
      <c r="T72" s="10">
        <v>0</v>
      </c>
      <c r="U72" s="10" t="s">
        <v>43</v>
      </c>
      <c r="V72" s="10">
        <v>40</v>
      </c>
      <c r="W72" s="11" t="s">
        <v>43</v>
      </c>
      <c r="X72" s="10" t="s">
        <v>42</v>
      </c>
      <c r="Y72" s="10">
        <v>2</v>
      </c>
      <c r="Z72" s="10" t="s">
        <v>101</v>
      </c>
      <c r="AA72" s="10" t="s">
        <v>320</v>
      </c>
      <c r="AB72" s="11">
        <f t="shared" si="6"/>
        <v>0</v>
      </c>
      <c r="AC72" s="11">
        <f t="shared" si="7"/>
        <v>50</v>
      </c>
      <c r="AD72" s="16">
        <v>0.38</v>
      </c>
      <c r="AE72" s="18">
        <f t="shared" si="8"/>
        <v>0</v>
      </c>
      <c r="AF72" s="11" t="str">
        <f t="shared" si="9"/>
        <v>Low</v>
      </c>
      <c r="AG72" s="10" t="s">
        <v>321</v>
      </c>
      <c r="AH72" s="23" t="s">
        <v>703</v>
      </c>
      <c r="AI72" s="22" t="str">
        <f t="shared" si="10"/>
        <v>Release</v>
      </c>
      <c r="AJ72" s="24" t="s">
        <v>322</v>
      </c>
      <c r="AK72" s="10" t="s">
        <v>323</v>
      </c>
    </row>
    <row r="73" spans="1:37" ht="28.8" hidden="1">
      <c r="A73" s="1" t="s">
        <v>33</v>
      </c>
      <c r="B73" s="1" t="s">
        <v>34</v>
      </c>
      <c r="C73" s="1" t="s">
        <v>35</v>
      </c>
      <c r="D73" s="2" t="s">
        <v>36</v>
      </c>
      <c r="E73" s="3" t="s">
        <v>324</v>
      </c>
      <c r="F73" s="3" t="s">
        <v>325</v>
      </c>
      <c r="G73" s="2" t="s">
        <v>36</v>
      </c>
      <c r="H73" s="1" t="s">
        <v>198</v>
      </c>
      <c r="I73" s="1" t="s">
        <v>199</v>
      </c>
      <c r="J73" s="2" t="s">
        <v>41</v>
      </c>
      <c r="K73" s="2">
        <v>19</v>
      </c>
      <c r="L73" s="2" t="s">
        <v>42</v>
      </c>
      <c r="M73" s="1">
        <v>0</v>
      </c>
      <c r="N73" s="1" t="s">
        <v>36</v>
      </c>
      <c r="O73" s="1" t="s">
        <v>198</v>
      </c>
      <c r="P73" s="1" t="s">
        <v>199</v>
      </c>
      <c r="Q73" s="2" t="s">
        <v>41</v>
      </c>
      <c r="R73" s="2">
        <v>19</v>
      </c>
      <c r="S73" s="2" t="s">
        <v>42</v>
      </c>
      <c r="T73" s="1">
        <v>0</v>
      </c>
      <c r="U73" s="1" t="s">
        <v>42</v>
      </c>
      <c r="V73" s="1">
        <v>0</v>
      </c>
      <c r="W73" s="11" t="s">
        <v>42</v>
      </c>
      <c r="X73" s="1" t="s">
        <v>43</v>
      </c>
      <c r="Y73" s="1">
        <v>0</v>
      </c>
      <c r="AB73" s="11">
        <f t="shared" si="6"/>
        <v>0</v>
      </c>
      <c r="AC73" s="11">
        <f t="shared" si="7"/>
        <v>0</v>
      </c>
      <c r="AD73" s="17">
        <v>0</v>
      </c>
      <c r="AE73" s="18">
        <f t="shared" si="8"/>
        <v>0</v>
      </c>
      <c r="AF73" s="11" t="str">
        <f t="shared" si="9"/>
        <v>Low</v>
      </c>
      <c r="AG73" s="14"/>
      <c r="AI73" s="22" t="str">
        <f t="shared" si="10"/>
        <v>Release</v>
      </c>
      <c r="AJ73" s="23"/>
    </row>
    <row r="74" spans="1:37" ht="28.8" hidden="1">
      <c r="A74" s="1" t="s">
        <v>33</v>
      </c>
      <c r="B74" s="1" t="s">
        <v>34</v>
      </c>
      <c r="C74" s="1" t="s">
        <v>35</v>
      </c>
      <c r="D74" s="2" t="s">
        <v>36</v>
      </c>
      <c r="E74" s="3" t="s">
        <v>326</v>
      </c>
      <c r="F74" s="3" t="s">
        <v>327</v>
      </c>
      <c r="G74" s="2" t="s">
        <v>36</v>
      </c>
      <c r="H74" s="1" t="s">
        <v>203</v>
      </c>
      <c r="I74" s="1" t="s">
        <v>204</v>
      </c>
      <c r="J74" s="2" t="s">
        <v>41</v>
      </c>
      <c r="K74" s="2">
        <v>19</v>
      </c>
      <c r="L74" s="2" t="s">
        <v>42</v>
      </c>
      <c r="M74" s="1">
        <v>0</v>
      </c>
      <c r="N74" s="1" t="s">
        <v>36</v>
      </c>
      <c r="O74" s="1" t="s">
        <v>203</v>
      </c>
      <c r="P74" s="1" t="s">
        <v>204</v>
      </c>
      <c r="Q74" s="2" t="s">
        <v>41</v>
      </c>
      <c r="R74" s="2">
        <v>19</v>
      </c>
      <c r="S74" s="2" t="s">
        <v>42</v>
      </c>
      <c r="T74" s="1">
        <v>0</v>
      </c>
      <c r="U74" s="1" t="s">
        <v>42</v>
      </c>
      <c r="V74" s="1">
        <v>0</v>
      </c>
      <c r="W74" s="11" t="s">
        <v>42</v>
      </c>
      <c r="X74" s="1" t="s">
        <v>43</v>
      </c>
      <c r="Y74" s="1">
        <v>0</v>
      </c>
      <c r="AB74" s="11">
        <f t="shared" si="6"/>
        <v>0</v>
      </c>
      <c r="AC74" s="11">
        <f t="shared" si="7"/>
        <v>0</v>
      </c>
      <c r="AD74" s="17">
        <v>0</v>
      </c>
      <c r="AE74" s="18">
        <f t="shared" si="8"/>
        <v>0</v>
      </c>
      <c r="AF74" s="11" t="str">
        <f t="shared" si="9"/>
        <v>Low</v>
      </c>
      <c r="AG74" s="14"/>
      <c r="AI74" s="22" t="str">
        <f t="shared" si="10"/>
        <v>Release</v>
      </c>
      <c r="AJ74" s="23"/>
    </row>
    <row r="75" spans="1:37" hidden="1">
      <c r="A75" s="1" t="s">
        <v>33</v>
      </c>
      <c r="B75" s="1" t="s">
        <v>34</v>
      </c>
      <c r="C75" s="1" t="s">
        <v>52</v>
      </c>
      <c r="D75" s="2" t="s">
        <v>36</v>
      </c>
      <c r="E75" s="3" t="s">
        <v>328</v>
      </c>
      <c r="F75" s="3" t="s">
        <v>329</v>
      </c>
      <c r="G75" s="2" t="s">
        <v>36</v>
      </c>
      <c r="H75" s="1" t="s">
        <v>39</v>
      </c>
      <c r="I75" s="1" t="s">
        <v>40</v>
      </c>
      <c r="J75" s="2" t="s">
        <v>41</v>
      </c>
      <c r="K75" s="2">
        <v>20</v>
      </c>
      <c r="L75" s="2" t="s">
        <v>42</v>
      </c>
      <c r="M75" s="1">
        <v>0</v>
      </c>
      <c r="N75" s="1" t="s">
        <v>36</v>
      </c>
      <c r="O75" s="1" t="s">
        <v>39</v>
      </c>
      <c r="P75" s="1" t="s">
        <v>40</v>
      </c>
      <c r="Q75" s="2" t="s">
        <v>41</v>
      </c>
      <c r="R75" s="2">
        <v>20</v>
      </c>
      <c r="S75" s="2" t="s">
        <v>42</v>
      </c>
      <c r="T75" s="1">
        <v>0</v>
      </c>
      <c r="U75" s="1" t="s">
        <v>42</v>
      </c>
      <c r="V75" s="1">
        <v>0</v>
      </c>
      <c r="W75" s="11" t="s">
        <v>42</v>
      </c>
      <c r="X75" s="13" t="s">
        <v>43</v>
      </c>
      <c r="Y75" s="1">
        <v>0</v>
      </c>
      <c r="AB75" s="11">
        <f t="shared" si="6"/>
        <v>0</v>
      </c>
      <c r="AC75" s="11">
        <f t="shared" si="7"/>
        <v>0</v>
      </c>
      <c r="AD75" s="17">
        <v>0</v>
      </c>
      <c r="AE75" s="18">
        <f t="shared" si="8"/>
        <v>0</v>
      </c>
      <c r="AF75" s="11" t="str">
        <f t="shared" si="9"/>
        <v>Low</v>
      </c>
      <c r="AG75" s="14"/>
      <c r="AI75" s="22" t="str">
        <f t="shared" si="10"/>
        <v>Release</v>
      </c>
      <c r="AJ75" s="23"/>
    </row>
    <row r="76" spans="1:37" ht="57.6" hidden="1">
      <c r="A76" s="1" t="s">
        <v>33</v>
      </c>
      <c r="B76" s="1" t="s">
        <v>34</v>
      </c>
      <c r="C76" s="1" t="s">
        <v>35</v>
      </c>
      <c r="D76" s="2" t="s">
        <v>36</v>
      </c>
      <c r="E76" s="3" t="s">
        <v>330</v>
      </c>
      <c r="F76" s="3" t="s">
        <v>331</v>
      </c>
      <c r="G76" s="2" t="s">
        <v>36</v>
      </c>
      <c r="H76" s="1" t="s">
        <v>55</v>
      </c>
      <c r="I76" s="1" t="s">
        <v>56</v>
      </c>
      <c r="J76" s="2" t="s">
        <v>57</v>
      </c>
      <c r="K76" s="2">
        <v>7</v>
      </c>
      <c r="L76" s="2" t="s">
        <v>43</v>
      </c>
      <c r="M76" s="1">
        <v>75</v>
      </c>
      <c r="N76" s="1" t="s">
        <v>36</v>
      </c>
      <c r="O76" s="1" t="s">
        <v>46</v>
      </c>
      <c r="P76" s="1" t="s">
        <v>47</v>
      </c>
      <c r="Q76" s="2" t="s">
        <v>41</v>
      </c>
      <c r="R76" s="2">
        <v>19</v>
      </c>
      <c r="S76" s="2" t="s">
        <v>42</v>
      </c>
      <c r="T76" s="2">
        <v>0</v>
      </c>
      <c r="U76" s="1" t="s">
        <v>42</v>
      </c>
      <c r="V76" s="1">
        <v>0</v>
      </c>
      <c r="W76" s="11" t="s">
        <v>42</v>
      </c>
      <c r="X76" s="1" t="s">
        <v>42</v>
      </c>
      <c r="Y76" s="1">
        <v>1</v>
      </c>
      <c r="Z76" s="1" t="s">
        <v>58</v>
      </c>
      <c r="AA76" s="3" t="s">
        <v>332</v>
      </c>
      <c r="AB76" s="11">
        <f t="shared" si="6"/>
        <v>12</v>
      </c>
      <c r="AC76" s="11">
        <f t="shared" si="7"/>
        <v>75</v>
      </c>
      <c r="AD76" s="17">
        <v>0.75</v>
      </c>
      <c r="AE76" s="18">
        <f t="shared" si="8"/>
        <v>75</v>
      </c>
      <c r="AF76" s="11" t="str">
        <f t="shared" si="9"/>
        <v>Medium</v>
      </c>
      <c r="AG76" s="14" t="s">
        <v>333</v>
      </c>
      <c r="AH76" s="23" t="s">
        <v>703</v>
      </c>
      <c r="AI76" s="22" t="str">
        <f t="shared" si="10"/>
        <v>Investigate</v>
      </c>
      <c r="AJ76" s="22" t="s">
        <v>61</v>
      </c>
      <c r="AK76" s="3" t="s">
        <v>334</v>
      </c>
    </row>
    <row r="77" spans="1:37" hidden="1">
      <c r="A77" s="1" t="s">
        <v>33</v>
      </c>
      <c r="B77" s="1" t="s">
        <v>34</v>
      </c>
      <c r="C77" s="1" t="s">
        <v>52</v>
      </c>
      <c r="D77" s="2" t="s">
        <v>36</v>
      </c>
      <c r="E77" s="3" t="s">
        <v>335</v>
      </c>
      <c r="F77" s="3" t="s">
        <v>336</v>
      </c>
      <c r="G77" s="2" t="s">
        <v>36</v>
      </c>
      <c r="H77" s="1" t="s">
        <v>203</v>
      </c>
      <c r="I77" s="1" t="s">
        <v>204</v>
      </c>
      <c r="J77" s="2" t="s">
        <v>41</v>
      </c>
      <c r="K77" s="2">
        <v>20</v>
      </c>
      <c r="L77" s="2" t="s">
        <v>42</v>
      </c>
      <c r="M77" s="1">
        <v>0</v>
      </c>
      <c r="N77" s="1" t="s">
        <v>36</v>
      </c>
      <c r="O77" s="1" t="s">
        <v>203</v>
      </c>
      <c r="P77" s="1" t="s">
        <v>204</v>
      </c>
      <c r="Q77" s="2" t="s">
        <v>41</v>
      </c>
      <c r="R77" s="2">
        <v>20</v>
      </c>
      <c r="S77" s="2" t="s">
        <v>42</v>
      </c>
      <c r="T77" s="1">
        <v>0</v>
      </c>
      <c r="U77" s="1" t="s">
        <v>42</v>
      </c>
      <c r="V77" s="1">
        <v>0</v>
      </c>
      <c r="W77" s="11" t="s">
        <v>42</v>
      </c>
      <c r="X77" s="1" t="s">
        <v>43</v>
      </c>
      <c r="Y77" s="1">
        <v>0</v>
      </c>
      <c r="AB77" s="11">
        <f t="shared" si="6"/>
        <v>0</v>
      </c>
      <c r="AC77" s="11">
        <f t="shared" si="7"/>
        <v>0</v>
      </c>
      <c r="AD77" s="17">
        <v>0</v>
      </c>
      <c r="AE77" s="18">
        <f t="shared" si="8"/>
        <v>0</v>
      </c>
      <c r="AF77" s="11" t="str">
        <f t="shared" si="9"/>
        <v>Low</v>
      </c>
      <c r="AG77" s="14"/>
      <c r="AI77" s="22" t="str">
        <f t="shared" si="10"/>
        <v>Release</v>
      </c>
      <c r="AJ77" s="23"/>
    </row>
    <row r="78" spans="1:37" ht="28.8" hidden="1">
      <c r="A78" s="1" t="s">
        <v>33</v>
      </c>
      <c r="B78" s="1" t="s">
        <v>34</v>
      </c>
      <c r="C78" s="1" t="s">
        <v>35</v>
      </c>
      <c r="D78" s="2" t="s">
        <v>36</v>
      </c>
      <c r="E78" s="3" t="s">
        <v>337</v>
      </c>
      <c r="F78" s="3" t="s">
        <v>338</v>
      </c>
      <c r="G78" s="2" t="s">
        <v>36</v>
      </c>
      <c r="H78" s="1" t="s">
        <v>207</v>
      </c>
      <c r="I78" s="1" t="s">
        <v>208</v>
      </c>
      <c r="J78" s="2" t="s">
        <v>41</v>
      </c>
      <c r="K78" s="2">
        <v>19</v>
      </c>
      <c r="L78" s="2" t="s">
        <v>42</v>
      </c>
      <c r="M78" s="1">
        <v>0</v>
      </c>
      <c r="N78" s="1" t="s">
        <v>36</v>
      </c>
      <c r="O78" s="1" t="s">
        <v>207</v>
      </c>
      <c r="P78" s="1" t="s">
        <v>208</v>
      </c>
      <c r="Q78" s="2" t="s">
        <v>41</v>
      </c>
      <c r="R78" s="2">
        <v>19</v>
      </c>
      <c r="S78" s="2" t="s">
        <v>42</v>
      </c>
      <c r="T78" s="1">
        <v>0</v>
      </c>
      <c r="U78" s="1" t="s">
        <v>42</v>
      </c>
      <c r="V78" s="1">
        <v>0</v>
      </c>
      <c r="W78" s="11" t="s">
        <v>42</v>
      </c>
      <c r="X78" s="1" t="s">
        <v>43</v>
      </c>
      <c r="Y78" s="1">
        <v>0</v>
      </c>
      <c r="AB78" s="11">
        <f t="shared" si="6"/>
        <v>0</v>
      </c>
      <c r="AC78" s="11">
        <f t="shared" si="7"/>
        <v>0</v>
      </c>
      <c r="AD78" s="17">
        <v>0</v>
      </c>
      <c r="AE78" s="18">
        <f t="shared" si="8"/>
        <v>0</v>
      </c>
      <c r="AF78" s="11" t="str">
        <f t="shared" si="9"/>
        <v>Low</v>
      </c>
      <c r="AG78" s="14"/>
      <c r="AI78" s="22" t="str">
        <f t="shared" si="10"/>
        <v>Release</v>
      </c>
      <c r="AJ78" s="23"/>
    </row>
    <row r="79" spans="1:37" ht="28.8" hidden="1">
      <c r="A79" s="1" t="s">
        <v>33</v>
      </c>
      <c r="B79" s="1" t="s">
        <v>34</v>
      </c>
      <c r="C79" s="1" t="s">
        <v>52</v>
      </c>
      <c r="D79" s="2" t="s">
        <v>36</v>
      </c>
      <c r="E79" s="3" t="s">
        <v>339</v>
      </c>
      <c r="F79" s="3" t="s">
        <v>340</v>
      </c>
      <c r="G79" s="2" t="s">
        <v>36</v>
      </c>
      <c r="H79" s="1" t="s">
        <v>50</v>
      </c>
      <c r="I79" s="1" t="s">
        <v>51</v>
      </c>
      <c r="J79" s="2" t="s">
        <v>41</v>
      </c>
      <c r="K79" s="2">
        <v>20</v>
      </c>
      <c r="L79" s="2" t="s">
        <v>42</v>
      </c>
      <c r="M79" s="1">
        <v>0</v>
      </c>
      <c r="N79" s="1" t="s">
        <v>36</v>
      </c>
      <c r="O79" s="1" t="s">
        <v>50</v>
      </c>
      <c r="P79" s="1" t="s">
        <v>51</v>
      </c>
      <c r="Q79" s="2" t="s">
        <v>41</v>
      </c>
      <c r="R79" s="2">
        <v>20</v>
      </c>
      <c r="S79" s="2" t="s">
        <v>42</v>
      </c>
      <c r="T79" s="1">
        <v>0</v>
      </c>
      <c r="U79" s="1" t="s">
        <v>42</v>
      </c>
      <c r="V79" s="1">
        <v>0</v>
      </c>
      <c r="W79" s="11" t="s">
        <v>42</v>
      </c>
      <c r="X79" s="1" t="s">
        <v>43</v>
      </c>
      <c r="Y79" s="1">
        <v>0</v>
      </c>
      <c r="AB79" s="11">
        <f t="shared" si="6"/>
        <v>0</v>
      </c>
      <c r="AC79" s="11">
        <f t="shared" si="7"/>
        <v>0</v>
      </c>
      <c r="AD79" s="17">
        <v>0</v>
      </c>
      <c r="AE79" s="18">
        <f t="shared" si="8"/>
        <v>0</v>
      </c>
      <c r="AF79" s="11" t="str">
        <f t="shared" si="9"/>
        <v>Low</v>
      </c>
      <c r="AG79" s="14"/>
      <c r="AI79" s="22" t="str">
        <f t="shared" si="10"/>
        <v>Release</v>
      </c>
      <c r="AJ79" s="23"/>
    </row>
    <row r="80" spans="1:37" ht="43.2" hidden="1">
      <c r="A80" s="1" t="s">
        <v>33</v>
      </c>
      <c r="B80" s="1" t="s">
        <v>34</v>
      </c>
      <c r="C80" s="1" t="s">
        <v>35</v>
      </c>
      <c r="D80" s="2" t="s">
        <v>36</v>
      </c>
      <c r="E80" s="3" t="s">
        <v>341</v>
      </c>
      <c r="F80" s="3" t="s">
        <v>342</v>
      </c>
      <c r="G80" s="2" t="s">
        <v>36</v>
      </c>
      <c r="H80" s="1" t="s">
        <v>39</v>
      </c>
      <c r="I80" s="1" t="s">
        <v>40</v>
      </c>
      <c r="J80" s="2" t="s">
        <v>41</v>
      </c>
      <c r="K80" s="2">
        <v>19</v>
      </c>
      <c r="L80" s="2" t="s">
        <v>42</v>
      </c>
      <c r="M80" s="9">
        <v>48</v>
      </c>
      <c r="N80" s="1" t="s">
        <v>36</v>
      </c>
      <c r="O80" s="1" t="s">
        <v>39</v>
      </c>
      <c r="P80" s="1" t="s">
        <v>40</v>
      </c>
      <c r="Q80" s="2" t="s">
        <v>41</v>
      </c>
      <c r="R80" s="2">
        <v>19</v>
      </c>
      <c r="S80" s="2" t="s">
        <v>43</v>
      </c>
      <c r="T80" s="9">
        <v>60</v>
      </c>
      <c r="U80" s="1" t="s">
        <v>42</v>
      </c>
      <c r="V80" s="1">
        <v>0</v>
      </c>
      <c r="W80" s="11" t="s">
        <v>42</v>
      </c>
      <c r="X80" s="1" t="s">
        <v>43</v>
      </c>
      <c r="Y80" s="1">
        <v>1</v>
      </c>
      <c r="Z80" s="1" t="s">
        <v>71</v>
      </c>
      <c r="AA80" s="3" t="s">
        <v>343</v>
      </c>
      <c r="AB80" s="11">
        <f t="shared" si="6"/>
        <v>0</v>
      </c>
      <c r="AC80" s="11">
        <f t="shared" si="7"/>
        <v>60</v>
      </c>
      <c r="AD80" s="17">
        <v>0.44</v>
      </c>
      <c r="AE80" s="18">
        <f t="shared" si="8"/>
        <v>60</v>
      </c>
      <c r="AF80" s="11" t="str">
        <f t="shared" si="9"/>
        <v>Medium</v>
      </c>
      <c r="AG80" s="14" t="s">
        <v>344</v>
      </c>
      <c r="AH80" s="22" t="s">
        <v>701</v>
      </c>
      <c r="AI80" s="22" t="str">
        <f t="shared" si="10"/>
        <v>Investigate</v>
      </c>
      <c r="AJ80" s="22" t="s">
        <v>702</v>
      </c>
      <c r="AK80" s="3" t="s">
        <v>345</v>
      </c>
    </row>
    <row r="81" spans="1:37" ht="28.8" hidden="1">
      <c r="A81" s="1" t="s">
        <v>33</v>
      </c>
      <c r="B81" s="1" t="s">
        <v>34</v>
      </c>
      <c r="C81" s="1" t="s">
        <v>52</v>
      </c>
      <c r="D81" s="2" t="s">
        <v>36</v>
      </c>
      <c r="E81" s="3" t="s">
        <v>346</v>
      </c>
      <c r="F81" s="3" t="s">
        <v>347</v>
      </c>
      <c r="G81" s="2" t="s">
        <v>36</v>
      </c>
      <c r="H81" s="1" t="s">
        <v>198</v>
      </c>
      <c r="I81" s="1" t="s">
        <v>199</v>
      </c>
      <c r="J81" s="2" t="s">
        <v>41</v>
      </c>
      <c r="K81" s="2">
        <v>20</v>
      </c>
      <c r="L81" s="2" t="s">
        <v>42</v>
      </c>
      <c r="M81" s="1">
        <v>0</v>
      </c>
      <c r="N81" s="1" t="s">
        <v>36</v>
      </c>
      <c r="O81" s="1" t="s">
        <v>198</v>
      </c>
      <c r="P81" s="1" t="s">
        <v>199</v>
      </c>
      <c r="Q81" s="2" t="s">
        <v>41</v>
      </c>
      <c r="R81" s="2">
        <v>20</v>
      </c>
      <c r="S81" s="2" t="s">
        <v>42</v>
      </c>
      <c r="T81" s="1">
        <v>0</v>
      </c>
      <c r="U81" s="1" t="s">
        <v>42</v>
      </c>
      <c r="V81" s="1">
        <v>0</v>
      </c>
      <c r="W81" s="11" t="s">
        <v>42</v>
      </c>
      <c r="X81" s="1" t="s">
        <v>43</v>
      </c>
      <c r="Y81" s="1">
        <v>0</v>
      </c>
      <c r="AB81" s="11">
        <f t="shared" si="6"/>
        <v>0</v>
      </c>
      <c r="AC81" s="11">
        <f t="shared" si="7"/>
        <v>0</v>
      </c>
      <c r="AD81" s="17">
        <v>0</v>
      </c>
      <c r="AE81" s="18">
        <f t="shared" si="8"/>
        <v>0</v>
      </c>
      <c r="AF81" s="11" t="str">
        <f t="shared" si="9"/>
        <v>Low</v>
      </c>
      <c r="AG81" s="14"/>
      <c r="AI81" s="22" t="str">
        <f t="shared" si="10"/>
        <v>Release</v>
      </c>
      <c r="AJ81" s="23"/>
    </row>
    <row r="82" spans="1:37" ht="28.8" hidden="1">
      <c r="A82" s="1" t="s">
        <v>33</v>
      </c>
      <c r="B82" s="1" t="s">
        <v>34</v>
      </c>
      <c r="C82" s="1" t="s">
        <v>35</v>
      </c>
      <c r="D82" s="2" t="s">
        <v>36</v>
      </c>
      <c r="E82" s="3" t="s">
        <v>348</v>
      </c>
      <c r="F82" s="3" t="s">
        <v>349</v>
      </c>
      <c r="G82" s="2" t="s">
        <v>36</v>
      </c>
      <c r="H82" s="1" t="s">
        <v>46</v>
      </c>
      <c r="I82" s="1" t="s">
        <v>47</v>
      </c>
      <c r="J82" s="2" t="s">
        <v>41</v>
      </c>
      <c r="K82" s="2">
        <v>19</v>
      </c>
      <c r="L82" s="2" t="s">
        <v>42</v>
      </c>
      <c r="M82" s="1">
        <v>0</v>
      </c>
      <c r="N82" s="1" t="s">
        <v>36</v>
      </c>
      <c r="O82" s="1" t="s">
        <v>46</v>
      </c>
      <c r="P82" s="1" t="s">
        <v>47</v>
      </c>
      <c r="Q82" s="2" t="s">
        <v>41</v>
      </c>
      <c r="R82" s="2">
        <v>19</v>
      </c>
      <c r="S82" s="2" t="s">
        <v>42</v>
      </c>
      <c r="T82" s="1">
        <v>0</v>
      </c>
      <c r="U82" s="1" t="s">
        <v>42</v>
      </c>
      <c r="V82" s="1">
        <v>0</v>
      </c>
      <c r="W82" s="11" t="s">
        <v>42</v>
      </c>
      <c r="X82" s="1" t="s">
        <v>43</v>
      </c>
      <c r="Y82" s="1">
        <v>0</v>
      </c>
      <c r="AB82" s="11">
        <f t="shared" si="6"/>
        <v>0</v>
      </c>
      <c r="AC82" s="11">
        <f t="shared" si="7"/>
        <v>0</v>
      </c>
      <c r="AD82" s="17">
        <v>0</v>
      </c>
      <c r="AE82" s="18">
        <f t="shared" si="8"/>
        <v>0</v>
      </c>
      <c r="AF82" s="11" t="str">
        <f t="shared" si="9"/>
        <v>Low</v>
      </c>
      <c r="AG82" s="14"/>
      <c r="AI82" s="22" t="str">
        <f t="shared" si="10"/>
        <v>Release</v>
      </c>
      <c r="AJ82" s="23"/>
    </row>
    <row r="83" spans="1:37" ht="28.8" hidden="1">
      <c r="A83" s="1" t="s">
        <v>33</v>
      </c>
      <c r="B83" s="1" t="s">
        <v>34</v>
      </c>
      <c r="C83" s="1" t="s">
        <v>52</v>
      </c>
      <c r="D83" s="2" t="s">
        <v>36</v>
      </c>
      <c r="E83" s="3" t="s">
        <v>350</v>
      </c>
      <c r="F83" s="3" t="s">
        <v>351</v>
      </c>
      <c r="G83" s="2" t="s">
        <v>36</v>
      </c>
      <c r="H83" s="1" t="s">
        <v>207</v>
      </c>
      <c r="I83" s="1" t="s">
        <v>208</v>
      </c>
      <c r="J83" s="2" t="s">
        <v>41</v>
      </c>
      <c r="K83" s="2">
        <v>20</v>
      </c>
      <c r="L83" s="2" t="s">
        <v>42</v>
      </c>
      <c r="M83" s="1">
        <v>0</v>
      </c>
      <c r="N83" s="1" t="s">
        <v>36</v>
      </c>
      <c r="O83" s="1" t="s">
        <v>207</v>
      </c>
      <c r="P83" s="1" t="s">
        <v>208</v>
      </c>
      <c r="Q83" s="2" t="s">
        <v>41</v>
      </c>
      <c r="R83" s="2">
        <v>20</v>
      </c>
      <c r="S83" s="2" t="s">
        <v>42</v>
      </c>
      <c r="T83" s="1">
        <v>0</v>
      </c>
      <c r="U83" s="1" t="s">
        <v>42</v>
      </c>
      <c r="V83" s="1">
        <v>0</v>
      </c>
      <c r="W83" s="11" t="s">
        <v>42</v>
      </c>
      <c r="X83" s="1" t="s">
        <v>43</v>
      </c>
      <c r="Y83" s="1">
        <v>0</v>
      </c>
      <c r="AB83" s="11">
        <f t="shared" si="6"/>
        <v>0</v>
      </c>
      <c r="AC83" s="11">
        <f t="shared" si="7"/>
        <v>0</v>
      </c>
      <c r="AD83" s="17">
        <v>0</v>
      </c>
      <c r="AE83" s="18">
        <f t="shared" si="8"/>
        <v>0</v>
      </c>
      <c r="AF83" s="11" t="str">
        <f t="shared" si="9"/>
        <v>Low</v>
      </c>
      <c r="AG83" s="14"/>
      <c r="AI83" s="22" t="str">
        <f t="shared" si="10"/>
        <v>Release</v>
      </c>
      <c r="AJ83" s="23"/>
    </row>
    <row r="84" spans="1:37" ht="43.2" hidden="1">
      <c r="A84" s="1" t="s">
        <v>33</v>
      </c>
      <c r="B84" s="1" t="s">
        <v>34</v>
      </c>
      <c r="C84" s="1" t="s">
        <v>52</v>
      </c>
      <c r="D84" s="2" t="s">
        <v>36</v>
      </c>
      <c r="E84" s="3" t="s">
        <v>352</v>
      </c>
      <c r="F84" s="3" t="s">
        <v>353</v>
      </c>
      <c r="G84" s="2" t="s">
        <v>36</v>
      </c>
      <c r="H84" s="1" t="s">
        <v>39</v>
      </c>
      <c r="I84" s="1" t="s">
        <v>40</v>
      </c>
      <c r="J84" s="2" t="s">
        <v>41</v>
      </c>
      <c r="K84" s="2">
        <v>20</v>
      </c>
      <c r="L84" s="2" t="s">
        <v>43</v>
      </c>
      <c r="M84" s="1">
        <v>75</v>
      </c>
      <c r="N84" s="1" t="s">
        <v>36</v>
      </c>
      <c r="O84" s="1" t="s">
        <v>78</v>
      </c>
      <c r="P84" s="1" t="s">
        <v>79</v>
      </c>
      <c r="Q84" s="2" t="s">
        <v>57</v>
      </c>
      <c r="R84" s="2">
        <v>5.5</v>
      </c>
      <c r="S84" s="2" t="s">
        <v>42</v>
      </c>
      <c r="T84" s="2">
        <v>0</v>
      </c>
      <c r="U84" s="1" t="s">
        <v>42</v>
      </c>
      <c r="V84" s="1">
        <v>0</v>
      </c>
      <c r="W84" s="11" t="s">
        <v>42</v>
      </c>
      <c r="X84" s="1" t="s">
        <v>42</v>
      </c>
      <c r="Y84" s="1">
        <v>1</v>
      </c>
      <c r="Z84" s="1" t="s">
        <v>58</v>
      </c>
      <c r="AA84" s="3" t="s">
        <v>699</v>
      </c>
      <c r="AB84" s="11">
        <f t="shared" si="6"/>
        <v>-14.5</v>
      </c>
      <c r="AC84" s="11">
        <f t="shared" si="7"/>
        <v>75</v>
      </c>
      <c r="AD84" s="17">
        <v>0.75</v>
      </c>
      <c r="AE84" s="18">
        <f>IF(Z84="",M84*T84*V84,IF(Z84="VAT Misclassification",IF(AB84&gt;0,M84,M84*50%),IF(Z84="VAT Product Description Vague",T84,IF(Z84="Supplier Risk",V84,IF(Z84="VAT Misclassification, Supplier Risk",IF(V84&gt;70,V84,IF(AB84&gt;0,M84,M84*0)),IF(Z84="VAT Product Description Vague, Supplier Risk",MAX(T84*100%+V84*100%),9999))))))</f>
        <v>37.5</v>
      </c>
      <c r="AF84" s="11" t="str">
        <f t="shared" si="9"/>
        <v>Medium</v>
      </c>
      <c r="AG84" s="14" t="s">
        <v>698</v>
      </c>
      <c r="AH84" s="23" t="s">
        <v>703</v>
      </c>
      <c r="AI84" s="22" t="str">
        <f t="shared" si="10"/>
        <v>Investigate</v>
      </c>
      <c r="AJ84" s="24" t="s">
        <v>322</v>
      </c>
      <c r="AK84" s="3" t="s">
        <v>697</v>
      </c>
    </row>
    <row r="85" spans="1:37" ht="28.8" hidden="1">
      <c r="A85" s="1" t="s">
        <v>75</v>
      </c>
      <c r="B85" s="1" t="s">
        <v>34</v>
      </c>
      <c r="C85" s="1" t="s">
        <v>35</v>
      </c>
      <c r="D85" s="2" t="s">
        <v>36</v>
      </c>
      <c r="E85" s="3" t="s">
        <v>354</v>
      </c>
      <c r="F85" s="3" t="s">
        <v>355</v>
      </c>
      <c r="G85" s="2" t="s">
        <v>36</v>
      </c>
      <c r="H85" s="1" t="s">
        <v>78</v>
      </c>
      <c r="I85" s="1" t="s">
        <v>79</v>
      </c>
      <c r="J85" s="2" t="s">
        <v>57</v>
      </c>
      <c r="K85" s="2">
        <v>7</v>
      </c>
      <c r="L85" s="2" t="s">
        <v>42</v>
      </c>
      <c r="M85" s="1">
        <v>0</v>
      </c>
      <c r="N85" s="1" t="s">
        <v>36</v>
      </c>
      <c r="O85" s="1" t="s">
        <v>78</v>
      </c>
      <c r="P85" s="1" t="s">
        <v>79</v>
      </c>
      <c r="Q85" s="2" t="s">
        <v>57</v>
      </c>
      <c r="R85" s="2">
        <v>7</v>
      </c>
      <c r="S85" s="2" t="s">
        <v>42</v>
      </c>
      <c r="T85" s="1">
        <v>0</v>
      </c>
      <c r="U85" s="1" t="s">
        <v>42</v>
      </c>
      <c r="V85" s="1">
        <v>0</v>
      </c>
      <c r="W85" s="11" t="s">
        <v>42</v>
      </c>
      <c r="X85" s="1" t="s">
        <v>43</v>
      </c>
      <c r="Y85" s="1">
        <v>0</v>
      </c>
      <c r="AB85" s="11">
        <f t="shared" si="6"/>
        <v>0</v>
      </c>
      <c r="AC85" s="11">
        <f t="shared" si="7"/>
        <v>0</v>
      </c>
      <c r="AD85" s="17">
        <v>0</v>
      </c>
      <c r="AE85" s="18">
        <f t="shared" si="8"/>
        <v>0</v>
      </c>
      <c r="AF85" s="11" t="str">
        <f t="shared" si="9"/>
        <v>Low</v>
      </c>
      <c r="AG85" s="14"/>
      <c r="AI85" s="22" t="str">
        <f t="shared" si="10"/>
        <v>Release</v>
      </c>
      <c r="AJ85" s="23"/>
    </row>
    <row r="86" spans="1:37" ht="28.8" hidden="1">
      <c r="A86" s="1" t="s">
        <v>75</v>
      </c>
      <c r="B86" s="1" t="s">
        <v>34</v>
      </c>
      <c r="C86" s="1" t="s">
        <v>52</v>
      </c>
      <c r="D86" s="2" t="s">
        <v>80</v>
      </c>
      <c r="E86" s="3" t="s">
        <v>356</v>
      </c>
      <c r="F86" s="3" t="s">
        <v>357</v>
      </c>
      <c r="G86" s="2" t="s">
        <v>80</v>
      </c>
      <c r="H86" s="1" t="s">
        <v>87</v>
      </c>
      <c r="I86" s="1" t="s">
        <v>88</v>
      </c>
      <c r="J86" s="2" t="s">
        <v>153</v>
      </c>
      <c r="K86" s="2">
        <v>2.1</v>
      </c>
      <c r="L86" s="2" t="s">
        <v>42</v>
      </c>
      <c r="M86" s="1">
        <v>0</v>
      </c>
      <c r="N86" s="1" t="s">
        <v>80</v>
      </c>
      <c r="O86" s="1" t="s">
        <v>87</v>
      </c>
      <c r="P86" s="1" t="s">
        <v>88</v>
      </c>
      <c r="Q86" s="2" t="s">
        <v>153</v>
      </c>
      <c r="R86" s="2">
        <v>2.1</v>
      </c>
      <c r="S86" s="2" t="s">
        <v>42</v>
      </c>
      <c r="T86" s="1">
        <v>0</v>
      </c>
      <c r="U86" s="1" t="s">
        <v>42</v>
      </c>
      <c r="V86" s="1">
        <v>0</v>
      </c>
      <c r="W86" s="11" t="s">
        <v>42</v>
      </c>
      <c r="X86" s="1" t="s">
        <v>43</v>
      </c>
      <c r="Y86" s="1">
        <v>0</v>
      </c>
      <c r="AB86" s="11">
        <f t="shared" si="6"/>
        <v>0</v>
      </c>
      <c r="AC86" s="11">
        <f t="shared" si="7"/>
        <v>0</v>
      </c>
      <c r="AD86" s="17">
        <v>0</v>
      </c>
      <c r="AE86" s="18">
        <f t="shared" si="8"/>
        <v>0</v>
      </c>
      <c r="AF86" s="11" t="str">
        <f t="shared" si="9"/>
        <v>Low</v>
      </c>
      <c r="AG86" s="14"/>
      <c r="AI86" s="22" t="str">
        <f t="shared" si="10"/>
        <v>Release</v>
      </c>
      <c r="AJ86" s="23"/>
    </row>
    <row r="87" spans="1:37" ht="28.8" hidden="1">
      <c r="A87" s="1" t="s">
        <v>75</v>
      </c>
      <c r="B87" s="1" t="s">
        <v>34</v>
      </c>
      <c r="C87" s="1" t="s">
        <v>35</v>
      </c>
      <c r="D87" s="2" t="s">
        <v>80</v>
      </c>
      <c r="E87" s="3" t="s">
        <v>358</v>
      </c>
      <c r="F87" s="3" t="s">
        <v>359</v>
      </c>
      <c r="G87" s="2" t="s">
        <v>80</v>
      </c>
      <c r="H87" s="1" t="s">
        <v>83</v>
      </c>
      <c r="I87" s="1" t="s">
        <v>84</v>
      </c>
      <c r="J87" s="2" t="s">
        <v>41</v>
      </c>
      <c r="K87" s="2">
        <v>19</v>
      </c>
      <c r="L87" s="2" t="s">
        <v>42</v>
      </c>
      <c r="M87" s="1">
        <v>0</v>
      </c>
      <c r="N87" s="1" t="s">
        <v>80</v>
      </c>
      <c r="O87" s="1" t="s">
        <v>83</v>
      </c>
      <c r="P87" s="1" t="s">
        <v>84</v>
      </c>
      <c r="Q87" s="2" t="s">
        <v>41</v>
      </c>
      <c r="R87" s="2">
        <v>19</v>
      </c>
      <c r="S87" s="2" t="s">
        <v>42</v>
      </c>
      <c r="T87" s="1">
        <v>0</v>
      </c>
      <c r="U87" s="1" t="s">
        <v>42</v>
      </c>
      <c r="V87" s="1">
        <v>0</v>
      </c>
      <c r="W87" s="11" t="s">
        <v>42</v>
      </c>
      <c r="X87" s="1" t="s">
        <v>43</v>
      </c>
      <c r="Y87" s="1">
        <v>0</v>
      </c>
      <c r="AB87" s="11">
        <f t="shared" si="6"/>
        <v>0</v>
      </c>
      <c r="AC87" s="11">
        <f t="shared" si="7"/>
        <v>0</v>
      </c>
      <c r="AD87" s="17">
        <v>0</v>
      </c>
      <c r="AE87" s="18">
        <f t="shared" si="8"/>
        <v>0</v>
      </c>
      <c r="AF87" s="11" t="str">
        <f t="shared" si="9"/>
        <v>Low</v>
      </c>
      <c r="AG87" s="14"/>
      <c r="AI87" s="22" t="str">
        <f t="shared" si="10"/>
        <v>Release</v>
      </c>
      <c r="AJ87" s="23"/>
    </row>
    <row r="88" spans="1:37" ht="72" hidden="1">
      <c r="A88" s="1" t="s">
        <v>75</v>
      </c>
      <c r="B88" s="1" t="s">
        <v>34</v>
      </c>
      <c r="C88" s="1" t="s">
        <v>52</v>
      </c>
      <c r="D88" s="2" t="s">
        <v>36</v>
      </c>
      <c r="E88" s="3" t="s">
        <v>360</v>
      </c>
      <c r="F88" s="3" t="s">
        <v>361</v>
      </c>
      <c r="G88" s="2" t="s">
        <v>36</v>
      </c>
      <c r="H88" s="1" t="s">
        <v>78</v>
      </c>
      <c r="I88" s="1" t="s">
        <v>79</v>
      </c>
      <c r="J88" s="2" t="s">
        <v>57</v>
      </c>
      <c r="K88" s="2">
        <v>5.5</v>
      </c>
      <c r="L88" s="2" t="s">
        <v>42</v>
      </c>
      <c r="M88" s="9">
        <v>26</v>
      </c>
      <c r="N88" s="1" t="s">
        <v>36</v>
      </c>
      <c r="O88" s="1" t="s">
        <v>78</v>
      </c>
      <c r="P88" s="1" t="s">
        <v>79</v>
      </c>
      <c r="Q88" s="2" t="s">
        <v>57</v>
      </c>
      <c r="R88" s="2">
        <v>5.5</v>
      </c>
      <c r="S88" s="2" t="s">
        <v>43</v>
      </c>
      <c r="T88" s="9">
        <v>60</v>
      </c>
      <c r="U88" s="1" t="s">
        <v>43</v>
      </c>
      <c r="V88" s="1">
        <v>40</v>
      </c>
      <c r="W88" s="11" t="s">
        <v>43</v>
      </c>
      <c r="X88" s="1" t="s">
        <v>43</v>
      </c>
      <c r="Y88" s="1">
        <v>2</v>
      </c>
      <c r="Z88" s="1" t="s">
        <v>240</v>
      </c>
      <c r="AA88" s="3" t="s">
        <v>362</v>
      </c>
      <c r="AB88" s="11">
        <f t="shared" si="6"/>
        <v>0</v>
      </c>
      <c r="AC88" s="11">
        <f t="shared" si="7"/>
        <v>70</v>
      </c>
      <c r="AD88" s="17">
        <v>0.52</v>
      </c>
      <c r="AE88" s="18">
        <f t="shared" si="8"/>
        <v>100</v>
      </c>
      <c r="AF88" s="11" t="str">
        <f t="shared" si="9"/>
        <v>High</v>
      </c>
      <c r="AG88" s="14" t="s">
        <v>363</v>
      </c>
      <c r="AH88" s="22" t="s">
        <v>703</v>
      </c>
      <c r="AI88" s="22" t="str">
        <f t="shared" si="10"/>
        <v>Retain</v>
      </c>
      <c r="AJ88" s="22" t="s">
        <v>701</v>
      </c>
      <c r="AK88" s="3" t="s">
        <v>364</v>
      </c>
    </row>
    <row r="89" spans="1:37" ht="28.8" hidden="1">
      <c r="A89" s="1" t="s">
        <v>75</v>
      </c>
      <c r="B89" s="1" t="s">
        <v>34</v>
      </c>
      <c r="C89" s="1" t="s">
        <v>35</v>
      </c>
      <c r="D89" s="2" t="s">
        <v>80</v>
      </c>
      <c r="E89" s="3" t="s">
        <v>365</v>
      </c>
      <c r="F89" s="3" t="s">
        <v>366</v>
      </c>
      <c r="G89" s="2" t="s">
        <v>80</v>
      </c>
      <c r="H89" s="1" t="s">
        <v>87</v>
      </c>
      <c r="I89" s="1" t="s">
        <v>88</v>
      </c>
      <c r="J89" s="2" t="s">
        <v>57</v>
      </c>
      <c r="K89" s="2">
        <v>7</v>
      </c>
      <c r="L89" s="2" t="s">
        <v>42</v>
      </c>
      <c r="M89" s="1">
        <v>0</v>
      </c>
      <c r="N89" s="1" t="s">
        <v>80</v>
      </c>
      <c r="O89" s="1" t="s">
        <v>87</v>
      </c>
      <c r="P89" s="1" t="s">
        <v>88</v>
      </c>
      <c r="Q89" s="2" t="s">
        <v>57</v>
      </c>
      <c r="R89" s="2">
        <v>7</v>
      </c>
      <c r="S89" s="2" t="s">
        <v>42</v>
      </c>
      <c r="T89" s="1">
        <v>0</v>
      </c>
      <c r="U89" s="1" t="s">
        <v>42</v>
      </c>
      <c r="V89" s="1">
        <v>0</v>
      </c>
      <c r="W89" s="11" t="s">
        <v>42</v>
      </c>
      <c r="X89" s="1" t="s">
        <v>43</v>
      </c>
      <c r="Y89" s="1">
        <v>0</v>
      </c>
      <c r="AB89" s="11">
        <f t="shared" si="6"/>
        <v>0</v>
      </c>
      <c r="AC89" s="11">
        <f t="shared" si="7"/>
        <v>0</v>
      </c>
      <c r="AD89" s="17">
        <v>0</v>
      </c>
      <c r="AE89" s="18">
        <f t="shared" si="8"/>
        <v>0</v>
      </c>
      <c r="AF89" s="11" t="str">
        <f t="shared" si="9"/>
        <v>Low</v>
      </c>
      <c r="AG89" s="14"/>
      <c r="AI89" s="22" t="str">
        <f t="shared" si="10"/>
        <v>Release</v>
      </c>
      <c r="AJ89" s="23"/>
    </row>
    <row r="90" spans="1:37" ht="28.8" hidden="1">
      <c r="A90" s="1" t="s">
        <v>75</v>
      </c>
      <c r="B90" s="1" t="s">
        <v>34</v>
      </c>
      <c r="C90" s="1" t="s">
        <v>52</v>
      </c>
      <c r="D90" s="2" t="s">
        <v>80</v>
      </c>
      <c r="E90" s="3" t="s">
        <v>367</v>
      </c>
      <c r="F90" s="3" t="s">
        <v>368</v>
      </c>
      <c r="G90" s="2" t="s">
        <v>80</v>
      </c>
      <c r="H90" s="1" t="s">
        <v>83</v>
      </c>
      <c r="I90" s="1" t="s">
        <v>84</v>
      </c>
      <c r="J90" s="2" t="s">
        <v>41</v>
      </c>
      <c r="K90" s="2">
        <v>20</v>
      </c>
      <c r="L90" s="2" t="s">
        <v>42</v>
      </c>
      <c r="M90" s="1">
        <v>0</v>
      </c>
      <c r="N90" s="1" t="s">
        <v>80</v>
      </c>
      <c r="O90" s="1" t="s">
        <v>83</v>
      </c>
      <c r="P90" s="1" t="s">
        <v>84</v>
      </c>
      <c r="Q90" s="2" t="s">
        <v>41</v>
      </c>
      <c r="R90" s="2">
        <v>20</v>
      </c>
      <c r="S90" s="2" t="s">
        <v>42</v>
      </c>
      <c r="T90" s="1">
        <v>0</v>
      </c>
      <c r="U90" s="1" t="s">
        <v>42</v>
      </c>
      <c r="V90" s="1">
        <v>0</v>
      </c>
      <c r="W90" s="11" t="s">
        <v>42</v>
      </c>
      <c r="X90" s="1" t="s">
        <v>43</v>
      </c>
      <c r="Y90" s="1">
        <v>0</v>
      </c>
      <c r="AB90" s="11">
        <f t="shared" si="6"/>
        <v>0</v>
      </c>
      <c r="AC90" s="11">
        <f t="shared" si="7"/>
        <v>0</v>
      </c>
      <c r="AD90" s="17">
        <v>0</v>
      </c>
      <c r="AE90" s="18">
        <f t="shared" si="8"/>
        <v>0</v>
      </c>
      <c r="AF90" s="11" t="str">
        <f t="shared" si="9"/>
        <v>Low</v>
      </c>
      <c r="AG90" s="14"/>
      <c r="AI90" s="22" t="str">
        <f t="shared" si="10"/>
        <v>Release</v>
      </c>
      <c r="AJ90" s="23"/>
    </row>
    <row r="91" spans="1:37" ht="28.8" hidden="1">
      <c r="A91" s="1" t="s">
        <v>75</v>
      </c>
      <c r="B91" s="1" t="s">
        <v>34</v>
      </c>
      <c r="C91" s="1" t="s">
        <v>35</v>
      </c>
      <c r="D91" s="2" t="s">
        <v>36</v>
      </c>
      <c r="E91" s="3" t="s">
        <v>369</v>
      </c>
      <c r="F91" s="3" t="s">
        <v>370</v>
      </c>
      <c r="G91" s="2" t="s">
        <v>36</v>
      </c>
      <c r="H91" s="1" t="s">
        <v>78</v>
      </c>
      <c r="I91" s="1" t="s">
        <v>79</v>
      </c>
      <c r="J91" s="2" t="s">
        <v>57</v>
      </c>
      <c r="K91" s="2">
        <v>7</v>
      </c>
      <c r="L91" s="2" t="s">
        <v>42</v>
      </c>
      <c r="M91" s="1">
        <v>0</v>
      </c>
      <c r="N91" s="1" t="s">
        <v>36</v>
      </c>
      <c r="O91" s="1" t="s">
        <v>78</v>
      </c>
      <c r="P91" s="1" t="s">
        <v>79</v>
      </c>
      <c r="Q91" s="2" t="s">
        <v>57</v>
      </c>
      <c r="R91" s="2">
        <v>7</v>
      </c>
      <c r="S91" s="2" t="s">
        <v>42</v>
      </c>
      <c r="T91" s="1">
        <v>0</v>
      </c>
      <c r="U91" s="1" t="s">
        <v>42</v>
      </c>
      <c r="V91" s="1">
        <v>0</v>
      </c>
      <c r="W91" s="11" t="s">
        <v>42</v>
      </c>
      <c r="X91" s="1" t="s">
        <v>43</v>
      </c>
      <c r="Y91" s="1">
        <v>0</v>
      </c>
      <c r="AB91" s="11">
        <f t="shared" si="6"/>
        <v>0</v>
      </c>
      <c r="AC91" s="11">
        <f t="shared" si="7"/>
        <v>0</v>
      </c>
      <c r="AD91" s="17">
        <v>0</v>
      </c>
      <c r="AE91" s="18">
        <f t="shared" si="8"/>
        <v>0</v>
      </c>
      <c r="AF91" s="11" t="str">
        <f t="shared" si="9"/>
        <v>Low</v>
      </c>
      <c r="AG91" s="14"/>
      <c r="AI91" s="22" t="str">
        <f t="shared" si="10"/>
        <v>Release</v>
      </c>
      <c r="AJ91" s="23"/>
    </row>
    <row r="92" spans="1:37" ht="86.4" hidden="1">
      <c r="A92" s="1" t="s">
        <v>75</v>
      </c>
      <c r="B92" s="1" t="s">
        <v>34</v>
      </c>
      <c r="C92" s="1" t="s">
        <v>52</v>
      </c>
      <c r="D92" s="2" t="s">
        <v>80</v>
      </c>
      <c r="E92" s="3" t="s">
        <v>371</v>
      </c>
      <c r="F92" s="3" t="s">
        <v>372</v>
      </c>
      <c r="G92" s="2" t="s">
        <v>80</v>
      </c>
      <c r="H92" s="1" t="s">
        <v>87</v>
      </c>
      <c r="I92" s="1" t="s">
        <v>88</v>
      </c>
      <c r="J92" s="2" t="s">
        <v>153</v>
      </c>
      <c r="K92" s="2">
        <v>2.1</v>
      </c>
      <c r="L92" s="2" t="s">
        <v>43</v>
      </c>
      <c r="M92" s="1">
        <v>75</v>
      </c>
      <c r="N92" s="1" t="s">
        <v>80</v>
      </c>
      <c r="O92" s="1" t="s">
        <v>83</v>
      </c>
      <c r="P92" s="1" t="s">
        <v>84</v>
      </c>
      <c r="Q92" s="2" t="s">
        <v>41</v>
      </c>
      <c r="R92" s="2">
        <v>20</v>
      </c>
      <c r="S92" s="2" t="s">
        <v>42</v>
      </c>
      <c r="T92" s="1">
        <v>0</v>
      </c>
      <c r="U92" s="1" t="s">
        <v>43</v>
      </c>
      <c r="V92" s="1">
        <v>40</v>
      </c>
      <c r="W92" s="11" t="s">
        <v>43</v>
      </c>
      <c r="X92" s="1" t="s">
        <v>42</v>
      </c>
      <c r="Y92" s="1">
        <v>2</v>
      </c>
      <c r="Z92" s="1" t="s">
        <v>101</v>
      </c>
      <c r="AA92" s="3" t="s">
        <v>373</v>
      </c>
      <c r="AB92" s="11">
        <f t="shared" si="6"/>
        <v>17.899999999999999</v>
      </c>
      <c r="AC92" s="11">
        <f t="shared" si="7"/>
        <v>85</v>
      </c>
      <c r="AD92" s="17">
        <v>0.83</v>
      </c>
      <c r="AE92" s="18">
        <f t="shared" si="8"/>
        <v>75</v>
      </c>
      <c r="AF92" s="11" t="str">
        <f t="shared" si="9"/>
        <v>Medium</v>
      </c>
      <c r="AG92" s="14" t="s">
        <v>374</v>
      </c>
      <c r="AH92" s="23" t="s">
        <v>703</v>
      </c>
      <c r="AI92" s="22" t="str">
        <f t="shared" si="10"/>
        <v>Investigate</v>
      </c>
      <c r="AJ92" s="22" t="s">
        <v>61</v>
      </c>
      <c r="AK92" s="3" t="s">
        <v>375</v>
      </c>
    </row>
    <row r="93" spans="1:37" ht="28.8" hidden="1">
      <c r="A93" s="1" t="s">
        <v>75</v>
      </c>
      <c r="B93" s="1" t="s">
        <v>34</v>
      </c>
      <c r="C93" s="1" t="s">
        <v>52</v>
      </c>
      <c r="D93" s="2" t="s">
        <v>80</v>
      </c>
      <c r="E93" s="3" t="s">
        <v>376</v>
      </c>
      <c r="F93" s="3" t="s">
        <v>377</v>
      </c>
      <c r="G93" s="2" t="s">
        <v>80</v>
      </c>
      <c r="H93" s="1" t="s">
        <v>83</v>
      </c>
      <c r="I93" s="1" t="s">
        <v>84</v>
      </c>
      <c r="J93" s="2" t="s">
        <v>41</v>
      </c>
      <c r="K93" s="2">
        <v>20</v>
      </c>
      <c r="L93" s="2" t="s">
        <v>42</v>
      </c>
      <c r="M93" s="1">
        <v>0</v>
      </c>
      <c r="N93" s="1" t="s">
        <v>80</v>
      </c>
      <c r="O93" s="1" t="s">
        <v>83</v>
      </c>
      <c r="P93" s="1" t="s">
        <v>84</v>
      </c>
      <c r="Q93" s="2" t="s">
        <v>41</v>
      </c>
      <c r="R93" s="2">
        <v>20</v>
      </c>
      <c r="S93" s="2" t="s">
        <v>42</v>
      </c>
      <c r="T93" s="1">
        <v>0</v>
      </c>
      <c r="U93" s="1" t="s">
        <v>42</v>
      </c>
      <c r="V93" s="1">
        <v>0</v>
      </c>
      <c r="W93" s="11" t="s">
        <v>42</v>
      </c>
      <c r="X93" s="1" t="s">
        <v>43</v>
      </c>
      <c r="Y93" s="1">
        <v>0</v>
      </c>
      <c r="AB93" s="11">
        <f t="shared" si="6"/>
        <v>0</v>
      </c>
      <c r="AC93" s="11">
        <f t="shared" si="7"/>
        <v>0</v>
      </c>
      <c r="AD93" s="17">
        <v>0</v>
      </c>
      <c r="AE93" s="18">
        <f t="shared" si="8"/>
        <v>0</v>
      </c>
      <c r="AF93" s="11" t="str">
        <f t="shared" si="9"/>
        <v>Low</v>
      </c>
      <c r="AG93" s="14"/>
      <c r="AI93" s="22" t="str">
        <f t="shared" si="10"/>
        <v>Release</v>
      </c>
      <c r="AJ93" s="23"/>
    </row>
    <row r="94" spans="1:37" ht="28.8" hidden="1">
      <c r="A94" s="1" t="s">
        <v>75</v>
      </c>
      <c r="B94" s="1" t="s">
        <v>34</v>
      </c>
      <c r="C94" s="1" t="s">
        <v>35</v>
      </c>
      <c r="D94" s="2" t="s">
        <v>80</v>
      </c>
      <c r="E94" s="3" t="s">
        <v>378</v>
      </c>
      <c r="F94" s="3" t="s">
        <v>379</v>
      </c>
      <c r="G94" s="2" t="s">
        <v>80</v>
      </c>
      <c r="H94" s="1" t="s">
        <v>83</v>
      </c>
      <c r="I94" s="1" t="s">
        <v>84</v>
      </c>
      <c r="J94" s="2" t="s">
        <v>41</v>
      </c>
      <c r="K94" s="2">
        <v>19</v>
      </c>
      <c r="L94" s="2" t="s">
        <v>42</v>
      </c>
      <c r="M94" s="1">
        <v>0</v>
      </c>
      <c r="N94" s="1" t="s">
        <v>80</v>
      </c>
      <c r="O94" s="1" t="s">
        <v>83</v>
      </c>
      <c r="P94" s="1" t="s">
        <v>84</v>
      </c>
      <c r="Q94" s="2" t="s">
        <v>41</v>
      </c>
      <c r="R94" s="2">
        <v>19</v>
      </c>
      <c r="S94" s="2" t="s">
        <v>42</v>
      </c>
      <c r="T94" s="1">
        <v>0</v>
      </c>
      <c r="U94" s="1" t="s">
        <v>42</v>
      </c>
      <c r="V94" s="1">
        <v>0</v>
      </c>
      <c r="W94" s="11" t="s">
        <v>42</v>
      </c>
      <c r="X94" s="1" t="s">
        <v>43</v>
      </c>
      <c r="Y94" s="1">
        <v>0</v>
      </c>
      <c r="AB94" s="11">
        <f t="shared" si="6"/>
        <v>0</v>
      </c>
      <c r="AC94" s="11">
        <f t="shared" si="7"/>
        <v>0</v>
      </c>
      <c r="AD94" s="17">
        <v>0</v>
      </c>
      <c r="AE94" s="18">
        <f t="shared" si="8"/>
        <v>0</v>
      </c>
      <c r="AF94" s="11" t="str">
        <f t="shared" si="9"/>
        <v>Low</v>
      </c>
      <c r="AG94" s="14"/>
      <c r="AI94" s="22" t="str">
        <f t="shared" si="10"/>
        <v>Release</v>
      </c>
      <c r="AJ94" s="23"/>
    </row>
    <row r="95" spans="1:37" ht="28.8" hidden="1">
      <c r="A95" s="1" t="s">
        <v>75</v>
      </c>
      <c r="B95" s="1" t="s">
        <v>34</v>
      </c>
      <c r="C95" s="1" t="s">
        <v>52</v>
      </c>
      <c r="D95" s="2" t="s">
        <v>36</v>
      </c>
      <c r="E95" s="3" t="s">
        <v>380</v>
      </c>
      <c r="F95" s="3" t="s">
        <v>381</v>
      </c>
      <c r="G95" s="2" t="s">
        <v>36</v>
      </c>
      <c r="H95" s="1" t="s">
        <v>78</v>
      </c>
      <c r="I95" s="1" t="s">
        <v>79</v>
      </c>
      <c r="J95" s="2" t="s">
        <v>57</v>
      </c>
      <c r="K95" s="2">
        <v>5.5</v>
      </c>
      <c r="L95" s="2" t="s">
        <v>42</v>
      </c>
      <c r="M95" s="1">
        <v>0</v>
      </c>
      <c r="N95" s="1" t="s">
        <v>36</v>
      </c>
      <c r="O95" s="1" t="s">
        <v>78</v>
      </c>
      <c r="P95" s="1" t="s">
        <v>79</v>
      </c>
      <c r="Q95" s="2" t="s">
        <v>57</v>
      </c>
      <c r="R95" s="2">
        <v>5.5</v>
      </c>
      <c r="S95" s="2" t="s">
        <v>42</v>
      </c>
      <c r="T95" s="1">
        <v>0</v>
      </c>
      <c r="U95" s="1" t="s">
        <v>42</v>
      </c>
      <c r="V95" s="1">
        <v>0</v>
      </c>
      <c r="W95" s="11" t="s">
        <v>42</v>
      </c>
      <c r="X95" s="1" t="s">
        <v>43</v>
      </c>
      <c r="Y95" s="1">
        <v>0</v>
      </c>
      <c r="AB95" s="11">
        <f t="shared" si="6"/>
        <v>0</v>
      </c>
      <c r="AC95" s="11">
        <f t="shared" si="7"/>
        <v>0</v>
      </c>
      <c r="AD95" s="17">
        <v>0</v>
      </c>
      <c r="AE95" s="18">
        <f t="shared" si="8"/>
        <v>0</v>
      </c>
      <c r="AF95" s="11" t="str">
        <f t="shared" si="9"/>
        <v>Low</v>
      </c>
      <c r="AG95" s="14"/>
      <c r="AI95" s="22" t="str">
        <f t="shared" si="10"/>
        <v>Release</v>
      </c>
      <c r="AJ95" s="23"/>
    </row>
    <row r="96" spans="1:37" ht="43.2">
      <c r="A96" s="1" t="s">
        <v>75</v>
      </c>
      <c r="B96" s="1" t="s">
        <v>34</v>
      </c>
      <c r="C96" s="1" t="s">
        <v>35</v>
      </c>
      <c r="D96" s="2" t="s">
        <v>80</v>
      </c>
      <c r="E96" s="3" t="s">
        <v>382</v>
      </c>
      <c r="F96" s="3" t="s">
        <v>383</v>
      </c>
      <c r="G96" s="2" t="s">
        <v>80</v>
      </c>
      <c r="H96" s="1" t="s">
        <v>87</v>
      </c>
      <c r="I96" s="1" t="s">
        <v>88</v>
      </c>
      <c r="J96" s="2" t="s">
        <v>57</v>
      </c>
      <c r="K96" s="2">
        <v>7</v>
      </c>
      <c r="L96" s="2" t="s">
        <v>42</v>
      </c>
      <c r="M96" s="1">
        <v>0</v>
      </c>
      <c r="N96" s="1" t="s">
        <v>80</v>
      </c>
      <c r="O96" s="1" t="s">
        <v>87</v>
      </c>
      <c r="P96" s="1" t="s">
        <v>88</v>
      </c>
      <c r="Q96" s="2" t="s">
        <v>57</v>
      </c>
      <c r="R96" s="2">
        <v>7</v>
      </c>
      <c r="S96" s="2" t="s">
        <v>42</v>
      </c>
      <c r="T96" s="1">
        <v>0</v>
      </c>
      <c r="U96" s="1" t="s">
        <v>43</v>
      </c>
      <c r="V96" s="1">
        <v>40</v>
      </c>
      <c r="W96" s="11" t="s">
        <v>43</v>
      </c>
      <c r="X96" s="1" t="s">
        <v>43</v>
      </c>
      <c r="Y96" s="1">
        <v>1</v>
      </c>
      <c r="Z96" s="1" t="s">
        <v>91</v>
      </c>
      <c r="AA96" s="3" t="s">
        <v>384</v>
      </c>
      <c r="AB96" s="11">
        <f t="shared" si="6"/>
        <v>0</v>
      </c>
      <c r="AC96" s="11">
        <f t="shared" si="7"/>
        <v>40</v>
      </c>
      <c r="AD96" s="17">
        <v>0.28000000000000003</v>
      </c>
      <c r="AE96" s="18">
        <f t="shared" si="8"/>
        <v>40</v>
      </c>
      <c r="AF96" s="11" t="str">
        <f t="shared" si="9"/>
        <v>Medium</v>
      </c>
      <c r="AG96" s="14" t="s">
        <v>385</v>
      </c>
      <c r="AH96" s="22" t="s">
        <v>696</v>
      </c>
      <c r="AI96" s="22" t="str">
        <f t="shared" si="10"/>
        <v>Investigate</v>
      </c>
      <c r="AJ96" s="22" t="s">
        <v>702</v>
      </c>
      <c r="AK96" s="3" t="s">
        <v>386</v>
      </c>
    </row>
    <row r="97" spans="1:37" ht="28.8" hidden="1">
      <c r="A97" s="1" t="s">
        <v>105</v>
      </c>
      <c r="B97" s="1" t="s">
        <v>34</v>
      </c>
      <c r="C97" s="1" t="s">
        <v>35</v>
      </c>
      <c r="D97" s="2" t="s">
        <v>106</v>
      </c>
      <c r="E97" s="3" t="s">
        <v>387</v>
      </c>
      <c r="F97" s="3" t="s">
        <v>388</v>
      </c>
      <c r="G97" s="2" t="s">
        <v>106</v>
      </c>
      <c r="H97" s="1" t="s">
        <v>109</v>
      </c>
      <c r="I97" s="1" t="s">
        <v>110</v>
      </c>
      <c r="J97" s="2" t="s">
        <v>41</v>
      </c>
      <c r="K97" s="2">
        <v>19</v>
      </c>
      <c r="L97" s="2" t="s">
        <v>42</v>
      </c>
      <c r="M97" s="1">
        <v>0</v>
      </c>
      <c r="N97" s="1" t="s">
        <v>106</v>
      </c>
      <c r="O97" s="1" t="s">
        <v>109</v>
      </c>
      <c r="P97" s="1" t="s">
        <v>110</v>
      </c>
      <c r="Q97" s="2" t="s">
        <v>41</v>
      </c>
      <c r="R97" s="2">
        <v>19</v>
      </c>
      <c r="S97" s="2" t="s">
        <v>42</v>
      </c>
      <c r="T97" s="1">
        <v>0</v>
      </c>
      <c r="U97" s="1" t="s">
        <v>42</v>
      </c>
      <c r="V97" s="1">
        <v>0</v>
      </c>
      <c r="W97" s="11" t="s">
        <v>42</v>
      </c>
      <c r="X97" s="1" t="s">
        <v>43</v>
      </c>
      <c r="Y97" s="1">
        <v>0</v>
      </c>
      <c r="AB97" s="11">
        <f t="shared" si="6"/>
        <v>0</v>
      </c>
      <c r="AC97" s="11">
        <f t="shared" si="7"/>
        <v>0</v>
      </c>
      <c r="AD97" s="17">
        <v>0</v>
      </c>
      <c r="AE97" s="18">
        <f t="shared" si="8"/>
        <v>0</v>
      </c>
      <c r="AF97" s="11" t="str">
        <f t="shared" si="9"/>
        <v>Low</v>
      </c>
      <c r="AG97" s="14"/>
      <c r="AI97" s="22" t="str">
        <f t="shared" si="10"/>
        <v>Release</v>
      </c>
      <c r="AJ97" s="23"/>
    </row>
    <row r="98" spans="1:37" hidden="1">
      <c r="A98" s="1" t="s">
        <v>105</v>
      </c>
      <c r="B98" s="1" t="s">
        <v>34</v>
      </c>
      <c r="C98" s="1" t="s">
        <v>52</v>
      </c>
      <c r="D98" s="2" t="s">
        <v>106</v>
      </c>
      <c r="E98" s="3" t="s">
        <v>389</v>
      </c>
      <c r="F98" s="3" t="s">
        <v>390</v>
      </c>
      <c r="G98" s="2" t="s">
        <v>106</v>
      </c>
      <c r="H98" s="1" t="s">
        <v>117</v>
      </c>
      <c r="I98" s="1" t="s">
        <v>118</v>
      </c>
      <c r="J98" s="2" t="s">
        <v>41</v>
      </c>
      <c r="K98" s="2">
        <v>20</v>
      </c>
      <c r="L98" s="2" t="s">
        <v>42</v>
      </c>
      <c r="M98" s="1">
        <v>0</v>
      </c>
      <c r="N98" s="1" t="s">
        <v>106</v>
      </c>
      <c r="O98" s="1" t="s">
        <v>117</v>
      </c>
      <c r="P98" s="1" t="s">
        <v>118</v>
      </c>
      <c r="Q98" s="2" t="s">
        <v>41</v>
      </c>
      <c r="R98" s="2">
        <v>20</v>
      </c>
      <c r="S98" s="2" t="s">
        <v>42</v>
      </c>
      <c r="T98" s="1">
        <v>0</v>
      </c>
      <c r="U98" s="1" t="s">
        <v>42</v>
      </c>
      <c r="V98" s="1">
        <v>0</v>
      </c>
      <c r="W98" s="11" t="s">
        <v>42</v>
      </c>
      <c r="X98" s="1" t="s">
        <v>43</v>
      </c>
      <c r="Y98" s="1">
        <v>0</v>
      </c>
      <c r="AB98" s="11">
        <f t="shared" si="6"/>
        <v>0</v>
      </c>
      <c r="AC98" s="11">
        <f t="shared" si="7"/>
        <v>0</v>
      </c>
      <c r="AD98" s="17">
        <v>0</v>
      </c>
      <c r="AE98" s="18">
        <f t="shared" si="8"/>
        <v>0</v>
      </c>
      <c r="AF98" s="11" t="str">
        <f t="shared" si="9"/>
        <v>Low</v>
      </c>
      <c r="AG98" s="14"/>
      <c r="AI98" s="22" t="str">
        <f t="shared" si="10"/>
        <v>Release</v>
      </c>
      <c r="AJ98" s="23"/>
    </row>
    <row r="99" spans="1:37" ht="28.8" hidden="1">
      <c r="A99" s="1" t="s">
        <v>105</v>
      </c>
      <c r="B99" s="1" t="s">
        <v>34</v>
      </c>
      <c r="C99" s="1" t="s">
        <v>35</v>
      </c>
      <c r="D99" s="2" t="s">
        <v>106</v>
      </c>
      <c r="E99" s="3" t="s">
        <v>391</v>
      </c>
      <c r="F99" s="3" t="s">
        <v>392</v>
      </c>
      <c r="G99" s="2" t="s">
        <v>106</v>
      </c>
      <c r="H99" s="1" t="s">
        <v>113</v>
      </c>
      <c r="I99" s="1" t="s">
        <v>114</v>
      </c>
      <c r="J99" s="2" t="s">
        <v>41</v>
      </c>
      <c r="K99" s="2">
        <v>19</v>
      </c>
      <c r="L99" s="2" t="s">
        <v>42</v>
      </c>
      <c r="M99" s="1">
        <v>0</v>
      </c>
      <c r="N99" s="1" t="s">
        <v>106</v>
      </c>
      <c r="O99" s="1" t="s">
        <v>113</v>
      </c>
      <c r="P99" s="1" t="s">
        <v>114</v>
      </c>
      <c r="Q99" s="2" t="s">
        <v>41</v>
      </c>
      <c r="R99" s="2">
        <v>19</v>
      </c>
      <c r="S99" s="2" t="s">
        <v>42</v>
      </c>
      <c r="T99" s="1">
        <v>0</v>
      </c>
      <c r="U99" s="1" t="s">
        <v>42</v>
      </c>
      <c r="V99" s="1">
        <v>0</v>
      </c>
      <c r="W99" s="11" t="s">
        <v>42</v>
      </c>
      <c r="X99" s="1" t="s">
        <v>43</v>
      </c>
      <c r="Y99" s="1">
        <v>0</v>
      </c>
      <c r="AB99" s="11">
        <f t="shared" si="6"/>
        <v>0</v>
      </c>
      <c r="AC99" s="11">
        <f t="shared" si="7"/>
        <v>0</v>
      </c>
      <c r="AD99" s="17">
        <v>0</v>
      </c>
      <c r="AE99" s="18">
        <f t="shared" si="8"/>
        <v>0</v>
      </c>
      <c r="AF99" s="11" t="str">
        <f t="shared" si="9"/>
        <v>Low</v>
      </c>
      <c r="AG99" s="14"/>
      <c r="AI99" s="22" t="str">
        <f t="shared" si="10"/>
        <v>Release</v>
      </c>
      <c r="AJ99" s="23"/>
    </row>
    <row r="100" spans="1:37" ht="57.6" hidden="1">
      <c r="A100" s="1" t="s">
        <v>105</v>
      </c>
      <c r="B100" s="1" t="s">
        <v>34</v>
      </c>
      <c r="C100" s="1" t="s">
        <v>35</v>
      </c>
      <c r="D100" s="2" t="s">
        <v>106</v>
      </c>
      <c r="E100" s="3" t="s">
        <v>393</v>
      </c>
      <c r="F100" s="3" t="s">
        <v>394</v>
      </c>
      <c r="G100" s="2" t="s">
        <v>106</v>
      </c>
      <c r="H100" s="1" t="s">
        <v>127</v>
      </c>
      <c r="I100" s="1" t="s">
        <v>128</v>
      </c>
      <c r="J100" s="2" t="s">
        <v>57</v>
      </c>
      <c r="K100" s="2">
        <v>7</v>
      </c>
      <c r="L100" s="2" t="s">
        <v>43</v>
      </c>
      <c r="M100" s="1">
        <v>25</v>
      </c>
      <c r="N100" s="1" t="s">
        <v>106</v>
      </c>
      <c r="O100" s="1" t="s">
        <v>252</v>
      </c>
      <c r="P100" s="1" t="s">
        <v>253</v>
      </c>
      <c r="Q100" s="2" t="s">
        <v>41</v>
      </c>
      <c r="R100" s="2">
        <v>19</v>
      </c>
      <c r="S100" s="2" t="s">
        <v>42</v>
      </c>
      <c r="T100" s="2">
        <v>0</v>
      </c>
      <c r="U100" s="1" t="s">
        <v>42</v>
      </c>
      <c r="V100" s="1">
        <v>0</v>
      </c>
      <c r="W100" s="11" t="s">
        <v>42</v>
      </c>
      <c r="X100" s="1" t="s">
        <v>42</v>
      </c>
      <c r="Y100" s="1">
        <v>1</v>
      </c>
      <c r="Z100" s="1" t="s">
        <v>58</v>
      </c>
      <c r="AA100" s="3" t="s">
        <v>395</v>
      </c>
      <c r="AB100" s="11">
        <f t="shared" si="6"/>
        <v>12</v>
      </c>
      <c r="AC100" s="11">
        <f t="shared" si="7"/>
        <v>25</v>
      </c>
      <c r="AD100" s="17">
        <v>0.75</v>
      </c>
      <c r="AE100" s="18">
        <f t="shared" si="8"/>
        <v>25</v>
      </c>
      <c r="AF100" s="11" t="str">
        <f t="shared" si="9"/>
        <v>Low</v>
      </c>
      <c r="AG100" s="14" t="s">
        <v>396</v>
      </c>
      <c r="AH100" s="23" t="s">
        <v>703</v>
      </c>
      <c r="AI100" s="22" t="str">
        <f t="shared" si="10"/>
        <v>Release</v>
      </c>
      <c r="AJ100" s="22" t="s">
        <v>322</v>
      </c>
      <c r="AK100" s="3" t="s">
        <v>397</v>
      </c>
    </row>
    <row r="101" spans="1:37" ht="28.8" hidden="1">
      <c r="A101" s="1" t="s">
        <v>105</v>
      </c>
      <c r="B101" s="1" t="s">
        <v>34</v>
      </c>
      <c r="C101" s="1" t="s">
        <v>52</v>
      </c>
      <c r="D101" s="2" t="s">
        <v>106</v>
      </c>
      <c r="E101" s="3" t="s">
        <v>398</v>
      </c>
      <c r="F101" s="3" t="s">
        <v>399</v>
      </c>
      <c r="G101" s="2" t="s">
        <v>106</v>
      </c>
      <c r="H101" s="1" t="s">
        <v>109</v>
      </c>
      <c r="I101" s="1" t="s">
        <v>110</v>
      </c>
      <c r="J101" s="2" t="s">
        <v>41</v>
      </c>
      <c r="K101" s="2">
        <v>20</v>
      </c>
      <c r="L101" s="2" t="s">
        <v>42</v>
      </c>
      <c r="M101" s="1">
        <v>0</v>
      </c>
      <c r="N101" s="1" t="s">
        <v>106</v>
      </c>
      <c r="O101" s="1" t="s">
        <v>109</v>
      </c>
      <c r="P101" s="1" t="s">
        <v>110</v>
      </c>
      <c r="Q101" s="2" t="s">
        <v>41</v>
      </c>
      <c r="R101" s="2">
        <v>20</v>
      </c>
      <c r="S101" s="2" t="s">
        <v>42</v>
      </c>
      <c r="T101" s="1">
        <v>0</v>
      </c>
      <c r="U101" s="1" t="s">
        <v>42</v>
      </c>
      <c r="V101" s="1">
        <v>0</v>
      </c>
      <c r="W101" s="11" t="s">
        <v>42</v>
      </c>
      <c r="X101" s="1" t="s">
        <v>43</v>
      </c>
      <c r="Y101" s="1">
        <v>0</v>
      </c>
      <c r="AB101" s="11">
        <f t="shared" si="6"/>
        <v>0</v>
      </c>
      <c r="AC101" s="11">
        <f t="shared" si="7"/>
        <v>0</v>
      </c>
      <c r="AD101" s="17">
        <v>0</v>
      </c>
      <c r="AE101" s="18">
        <f t="shared" si="8"/>
        <v>0</v>
      </c>
      <c r="AF101" s="11" t="str">
        <f t="shared" si="9"/>
        <v>Low</v>
      </c>
      <c r="AG101" s="14"/>
      <c r="AI101" s="22" t="str">
        <f t="shared" si="10"/>
        <v>Release</v>
      </c>
      <c r="AJ101" s="23"/>
    </row>
    <row r="102" spans="1:37" ht="28.8" hidden="1">
      <c r="A102" s="1" t="s">
        <v>105</v>
      </c>
      <c r="B102" s="1" t="s">
        <v>34</v>
      </c>
      <c r="C102" s="1" t="s">
        <v>35</v>
      </c>
      <c r="D102" s="2" t="s">
        <v>106</v>
      </c>
      <c r="E102" s="3" t="s">
        <v>400</v>
      </c>
      <c r="F102" s="3" t="s">
        <v>401</v>
      </c>
      <c r="G102" s="2" t="s">
        <v>106</v>
      </c>
      <c r="H102" s="1" t="s">
        <v>117</v>
      </c>
      <c r="I102" s="1" t="s">
        <v>118</v>
      </c>
      <c r="J102" s="2" t="s">
        <v>41</v>
      </c>
      <c r="K102" s="2">
        <v>19</v>
      </c>
      <c r="L102" s="2" t="s">
        <v>42</v>
      </c>
      <c r="M102" s="1">
        <v>0</v>
      </c>
      <c r="N102" s="1" t="s">
        <v>106</v>
      </c>
      <c r="O102" s="1" t="s">
        <v>117</v>
      </c>
      <c r="P102" s="1" t="s">
        <v>118</v>
      </c>
      <c r="Q102" s="2" t="s">
        <v>41</v>
      </c>
      <c r="R102" s="2">
        <v>19</v>
      </c>
      <c r="S102" s="2" t="s">
        <v>42</v>
      </c>
      <c r="T102" s="1">
        <v>0</v>
      </c>
      <c r="U102" s="1" t="s">
        <v>42</v>
      </c>
      <c r="V102" s="1">
        <v>0</v>
      </c>
      <c r="W102" s="11" t="s">
        <v>42</v>
      </c>
      <c r="X102" s="1" t="s">
        <v>43</v>
      </c>
      <c r="Y102" s="1">
        <v>0</v>
      </c>
      <c r="AB102" s="11">
        <f t="shared" si="6"/>
        <v>0</v>
      </c>
      <c r="AC102" s="11">
        <f t="shared" si="7"/>
        <v>0</v>
      </c>
      <c r="AD102" s="17">
        <v>0</v>
      </c>
      <c r="AE102" s="18">
        <f t="shared" si="8"/>
        <v>0</v>
      </c>
      <c r="AF102" s="11" t="str">
        <f t="shared" si="9"/>
        <v>Low</v>
      </c>
      <c r="AG102" s="14"/>
      <c r="AI102" s="22" t="str">
        <f t="shared" si="10"/>
        <v>Release</v>
      </c>
      <c r="AJ102" s="23"/>
    </row>
    <row r="103" spans="1:37" ht="28.8" hidden="1">
      <c r="A103" s="1" t="s">
        <v>105</v>
      </c>
      <c r="B103" s="1" t="s">
        <v>34</v>
      </c>
      <c r="C103" s="1" t="s">
        <v>52</v>
      </c>
      <c r="D103" s="2" t="s">
        <v>106</v>
      </c>
      <c r="E103" s="3" t="s">
        <v>402</v>
      </c>
      <c r="F103" s="3" t="s">
        <v>403</v>
      </c>
      <c r="G103" s="2" t="s">
        <v>106</v>
      </c>
      <c r="H103" s="1" t="s">
        <v>113</v>
      </c>
      <c r="I103" s="1" t="s">
        <v>114</v>
      </c>
      <c r="J103" s="2" t="s">
        <v>41</v>
      </c>
      <c r="K103" s="2">
        <v>20</v>
      </c>
      <c r="L103" s="2" t="s">
        <v>42</v>
      </c>
      <c r="M103" s="1">
        <v>0</v>
      </c>
      <c r="N103" s="1" t="s">
        <v>106</v>
      </c>
      <c r="O103" s="1" t="s">
        <v>113</v>
      </c>
      <c r="P103" s="1" t="s">
        <v>114</v>
      </c>
      <c r="Q103" s="2" t="s">
        <v>41</v>
      </c>
      <c r="R103" s="2">
        <v>20</v>
      </c>
      <c r="S103" s="2" t="s">
        <v>42</v>
      </c>
      <c r="T103" s="1">
        <v>0</v>
      </c>
      <c r="U103" s="1" t="s">
        <v>42</v>
      </c>
      <c r="V103" s="1">
        <v>0</v>
      </c>
      <c r="W103" s="11" t="s">
        <v>42</v>
      </c>
      <c r="X103" s="1" t="s">
        <v>43</v>
      </c>
      <c r="Y103" s="1">
        <v>0</v>
      </c>
      <c r="AB103" s="11">
        <f t="shared" si="6"/>
        <v>0</v>
      </c>
      <c r="AC103" s="11">
        <f t="shared" si="7"/>
        <v>0</v>
      </c>
      <c r="AD103" s="17">
        <v>0</v>
      </c>
      <c r="AE103" s="18">
        <f t="shared" si="8"/>
        <v>0</v>
      </c>
      <c r="AF103" s="11" t="str">
        <f t="shared" si="9"/>
        <v>Low</v>
      </c>
      <c r="AG103" s="14"/>
      <c r="AI103" s="22" t="str">
        <f t="shared" si="10"/>
        <v>Release</v>
      </c>
      <c r="AJ103" s="23"/>
    </row>
    <row r="104" spans="1:37" ht="43.2" hidden="1">
      <c r="A104" s="1" t="s">
        <v>105</v>
      </c>
      <c r="B104" s="1" t="s">
        <v>34</v>
      </c>
      <c r="C104" s="1" t="s">
        <v>35</v>
      </c>
      <c r="D104" s="2" t="s">
        <v>106</v>
      </c>
      <c r="E104" s="3" t="s">
        <v>404</v>
      </c>
      <c r="F104" s="3" t="s">
        <v>405</v>
      </c>
      <c r="G104" s="2" t="s">
        <v>106</v>
      </c>
      <c r="H104" s="1" t="s">
        <v>117</v>
      </c>
      <c r="I104" s="1" t="s">
        <v>118</v>
      </c>
      <c r="J104" s="2" t="s">
        <v>41</v>
      </c>
      <c r="K104" s="2">
        <v>19</v>
      </c>
      <c r="L104" s="2" t="s">
        <v>42</v>
      </c>
      <c r="M104" s="9">
        <v>62</v>
      </c>
      <c r="N104" s="1" t="s">
        <v>106</v>
      </c>
      <c r="O104" s="1" t="s">
        <v>117</v>
      </c>
      <c r="P104" s="1" t="s">
        <v>118</v>
      </c>
      <c r="Q104" s="2" t="s">
        <v>41</v>
      </c>
      <c r="R104" s="2">
        <v>19</v>
      </c>
      <c r="S104" s="2" t="s">
        <v>43</v>
      </c>
      <c r="T104" s="9">
        <v>60</v>
      </c>
      <c r="U104" s="1" t="s">
        <v>42</v>
      </c>
      <c r="V104" s="1">
        <v>0</v>
      </c>
      <c r="W104" s="11" t="s">
        <v>42</v>
      </c>
      <c r="X104" s="1" t="s">
        <v>43</v>
      </c>
      <c r="Y104" s="1">
        <v>1</v>
      </c>
      <c r="Z104" s="1" t="s">
        <v>71</v>
      </c>
      <c r="AA104" s="3" t="s">
        <v>406</v>
      </c>
      <c r="AB104" s="11">
        <f t="shared" si="6"/>
        <v>0</v>
      </c>
      <c r="AC104" s="11">
        <f t="shared" si="7"/>
        <v>60</v>
      </c>
      <c r="AD104" s="17">
        <v>0.44</v>
      </c>
      <c r="AE104" s="18">
        <f t="shared" si="8"/>
        <v>60</v>
      </c>
      <c r="AF104" s="11" t="str">
        <f t="shared" si="9"/>
        <v>Medium</v>
      </c>
      <c r="AG104" s="14" t="s">
        <v>407</v>
      </c>
      <c r="AH104" s="22" t="s">
        <v>701</v>
      </c>
      <c r="AI104" s="22" t="str">
        <f t="shared" si="10"/>
        <v>Investigate</v>
      </c>
      <c r="AJ104" s="22" t="s">
        <v>702</v>
      </c>
      <c r="AK104" s="3" t="s">
        <v>408</v>
      </c>
    </row>
    <row r="105" spans="1:37" hidden="1">
      <c r="A105" s="1" t="s">
        <v>105</v>
      </c>
      <c r="B105" s="1" t="s">
        <v>34</v>
      </c>
      <c r="C105" s="1" t="s">
        <v>52</v>
      </c>
      <c r="D105" s="2" t="s">
        <v>106</v>
      </c>
      <c r="E105" s="3" t="s">
        <v>409</v>
      </c>
      <c r="F105" s="3" t="s">
        <v>410</v>
      </c>
      <c r="G105" s="2" t="s">
        <v>106</v>
      </c>
      <c r="H105" s="1" t="s">
        <v>109</v>
      </c>
      <c r="I105" s="1" t="s">
        <v>110</v>
      </c>
      <c r="J105" s="2" t="s">
        <v>41</v>
      </c>
      <c r="K105" s="2">
        <v>20</v>
      </c>
      <c r="L105" s="2" t="s">
        <v>42</v>
      </c>
      <c r="M105" s="1">
        <v>0</v>
      </c>
      <c r="N105" s="1" t="s">
        <v>106</v>
      </c>
      <c r="O105" s="1" t="s">
        <v>109</v>
      </c>
      <c r="P105" s="1" t="s">
        <v>110</v>
      </c>
      <c r="Q105" s="2" t="s">
        <v>41</v>
      </c>
      <c r="R105" s="2">
        <v>20</v>
      </c>
      <c r="S105" s="2" t="s">
        <v>42</v>
      </c>
      <c r="T105" s="1">
        <v>0</v>
      </c>
      <c r="U105" s="1" t="s">
        <v>42</v>
      </c>
      <c r="V105" s="1">
        <v>0</v>
      </c>
      <c r="W105" s="11" t="s">
        <v>42</v>
      </c>
      <c r="X105" s="1" t="s">
        <v>43</v>
      </c>
      <c r="Y105" s="1">
        <v>0</v>
      </c>
      <c r="AB105" s="11">
        <f t="shared" si="6"/>
        <v>0</v>
      </c>
      <c r="AC105" s="11">
        <f t="shared" si="7"/>
        <v>0</v>
      </c>
      <c r="AD105" s="17">
        <v>0</v>
      </c>
      <c r="AE105" s="18">
        <f t="shared" si="8"/>
        <v>0</v>
      </c>
      <c r="AF105" s="11" t="str">
        <f t="shared" si="9"/>
        <v>Low</v>
      </c>
      <c r="AG105" s="14"/>
      <c r="AI105" s="22" t="str">
        <f t="shared" si="10"/>
        <v>Release</v>
      </c>
      <c r="AJ105" s="23"/>
    </row>
    <row r="106" spans="1:37" ht="28.8" hidden="1">
      <c r="A106" s="1" t="s">
        <v>105</v>
      </c>
      <c r="B106" s="1" t="s">
        <v>34</v>
      </c>
      <c r="C106" s="1" t="s">
        <v>35</v>
      </c>
      <c r="D106" s="2" t="s">
        <v>106</v>
      </c>
      <c r="E106" s="3" t="s">
        <v>411</v>
      </c>
      <c r="F106" s="3" t="s">
        <v>412</v>
      </c>
      <c r="G106" s="2" t="s">
        <v>106</v>
      </c>
      <c r="H106" s="1" t="s">
        <v>113</v>
      </c>
      <c r="I106" s="1" t="s">
        <v>114</v>
      </c>
      <c r="J106" s="2" t="s">
        <v>41</v>
      </c>
      <c r="K106" s="2">
        <v>19</v>
      </c>
      <c r="L106" s="2" t="s">
        <v>42</v>
      </c>
      <c r="M106" s="1">
        <v>0</v>
      </c>
      <c r="N106" s="1" t="s">
        <v>106</v>
      </c>
      <c r="O106" s="1" t="s">
        <v>113</v>
      </c>
      <c r="P106" s="1" t="s">
        <v>114</v>
      </c>
      <c r="Q106" s="2" t="s">
        <v>41</v>
      </c>
      <c r="R106" s="2">
        <v>19</v>
      </c>
      <c r="S106" s="2" t="s">
        <v>42</v>
      </c>
      <c r="T106" s="1">
        <v>0</v>
      </c>
      <c r="U106" s="1" t="s">
        <v>42</v>
      </c>
      <c r="V106" s="1">
        <v>0</v>
      </c>
      <c r="W106" s="11" t="s">
        <v>42</v>
      </c>
      <c r="X106" s="1" t="s">
        <v>43</v>
      </c>
      <c r="Y106" s="1">
        <v>0</v>
      </c>
      <c r="AB106" s="11">
        <f t="shared" si="6"/>
        <v>0</v>
      </c>
      <c r="AC106" s="11">
        <f t="shared" si="7"/>
        <v>0</v>
      </c>
      <c r="AD106" s="17">
        <v>0</v>
      </c>
      <c r="AE106" s="18">
        <f t="shared" si="8"/>
        <v>0</v>
      </c>
      <c r="AF106" s="11" t="str">
        <f t="shared" si="9"/>
        <v>Low</v>
      </c>
      <c r="AG106" s="14"/>
      <c r="AI106" s="22" t="str">
        <f t="shared" si="10"/>
        <v>Release</v>
      </c>
      <c r="AJ106" s="23"/>
    </row>
    <row r="107" spans="1:37" ht="28.8" hidden="1">
      <c r="A107" s="1" t="s">
        <v>105</v>
      </c>
      <c r="B107" s="1" t="s">
        <v>34</v>
      </c>
      <c r="C107" s="1" t="s">
        <v>52</v>
      </c>
      <c r="D107" s="2" t="s">
        <v>106</v>
      </c>
      <c r="E107" s="3" t="s">
        <v>413</v>
      </c>
      <c r="F107" s="3" t="s">
        <v>414</v>
      </c>
      <c r="G107" s="2" t="s">
        <v>106</v>
      </c>
      <c r="H107" s="1" t="s">
        <v>117</v>
      </c>
      <c r="I107" s="1" t="s">
        <v>118</v>
      </c>
      <c r="J107" s="2" t="s">
        <v>41</v>
      </c>
      <c r="K107" s="2">
        <v>20</v>
      </c>
      <c r="L107" s="2" t="s">
        <v>42</v>
      </c>
      <c r="M107" s="1">
        <v>0</v>
      </c>
      <c r="N107" s="1" t="s">
        <v>106</v>
      </c>
      <c r="O107" s="1" t="s">
        <v>117</v>
      </c>
      <c r="P107" s="1" t="s">
        <v>118</v>
      </c>
      <c r="Q107" s="2" t="s">
        <v>41</v>
      </c>
      <c r="R107" s="2">
        <v>20</v>
      </c>
      <c r="S107" s="2" t="s">
        <v>42</v>
      </c>
      <c r="T107" s="1">
        <v>0</v>
      </c>
      <c r="U107" s="1" t="s">
        <v>42</v>
      </c>
      <c r="V107" s="1">
        <v>0</v>
      </c>
      <c r="W107" s="11" t="s">
        <v>42</v>
      </c>
      <c r="X107" s="1" t="s">
        <v>43</v>
      </c>
      <c r="Y107" s="1">
        <v>0</v>
      </c>
      <c r="AB107" s="11">
        <f t="shared" si="6"/>
        <v>0</v>
      </c>
      <c r="AC107" s="11">
        <f t="shared" si="7"/>
        <v>0</v>
      </c>
      <c r="AD107" s="17">
        <v>0</v>
      </c>
      <c r="AE107" s="18">
        <f t="shared" si="8"/>
        <v>0</v>
      </c>
      <c r="AF107" s="11" t="str">
        <f t="shared" si="9"/>
        <v>Low</v>
      </c>
      <c r="AG107" s="14"/>
      <c r="AI107" s="22" t="str">
        <f t="shared" si="10"/>
        <v>Release</v>
      </c>
      <c r="AJ107" s="23"/>
    </row>
    <row r="108" spans="1:37" ht="72" hidden="1">
      <c r="A108" s="1" t="s">
        <v>105</v>
      </c>
      <c r="B108" s="1" t="s">
        <v>34</v>
      </c>
      <c r="C108" s="1" t="s">
        <v>52</v>
      </c>
      <c r="D108" s="2" t="s">
        <v>106</v>
      </c>
      <c r="E108" s="3" t="s">
        <v>415</v>
      </c>
      <c r="F108" s="3" t="s">
        <v>416</v>
      </c>
      <c r="G108" s="2" t="s">
        <v>106</v>
      </c>
      <c r="H108" s="1" t="s">
        <v>127</v>
      </c>
      <c r="I108" s="1" t="s">
        <v>128</v>
      </c>
      <c r="J108" s="2" t="s">
        <v>57</v>
      </c>
      <c r="K108" s="2">
        <v>5.5</v>
      </c>
      <c r="L108" s="2" t="s">
        <v>43</v>
      </c>
      <c r="M108" s="1">
        <v>75</v>
      </c>
      <c r="N108" s="1" t="s">
        <v>106</v>
      </c>
      <c r="O108" s="1" t="s">
        <v>417</v>
      </c>
      <c r="P108" s="1" t="s">
        <v>418</v>
      </c>
      <c r="Q108" s="2" t="s">
        <v>41</v>
      </c>
      <c r="R108" s="2">
        <v>20</v>
      </c>
      <c r="S108" s="2" t="s">
        <v>42</v>
      </c>
      <c r="T108" s="1">
        <v>0</v>
      </c>
      <c r="U108" s="1" t="s">
        <v>43</v>
      </c>
      <c r="V108" s="1">
        <v>40</v>
      </c>
      <c r="W108" s="11" t="s">
        <v>43</v>
      </c>
      <c r="X108" s="1" t="s">
        <v>42</v>
      </c>
      <c r="Y108" s="1">
        <v>2</v>
      </c>
      <c r="Z108" s="1" t="s">
        <v>101</v>
      </c>
      <c r="AA108" s="3" t="s">
        <v>419</v>
      </c>
      <c r="AB108" s="11">
        <f t="shared" si="6"/>
        <v>14.5</v>
      </c>
      <c r="AC108" s="11">
        <f t="shared" si="7"/>
        <v>85</v>
      </c>
      <c r="AD108" s="17">
        <v>0.83</v>
      </c>
      <c r="AE108" s="18">
        <f t="shared" si="8"/>
        <v>75</v>
      </c>
      <c r="AF108" s="11" t="str">
        <f t="shared" si="9"/>
        <v>Medium</v>
      </c>
      <c r="AG108" s="14" t="s">
        <v>420</v>
      </c>
      <c r="AH108" s="23" t="s">
        <v>703</v>
      </c>
      <c r="AI108" s="22" t="str">
        <f t="shared" si="10"/>
        <v>Investigate</v>
      </c>
      <c r="AJ108" s="22" t="s">
        <v>61</v>
      </c>
      <c r="AK108" s="3" t="s">
        <v>421</v>
      </c>
    </row>
    <row r="109" spans="1:37" ht="28.8" hidden="1">
      <c r="A109" s="1" t="s">
        <v>132</v>
      </c>
      <c r="B109" s="1" t="s">
        <v>34</v>
      </c>
      <c r="C109" s="1" t="s">
        <v>35</v>
      </c>
      <c r="D109" s="2" t="s">
        <v>133</v>
      </c>
      <c r="E109" s="3" t="s">
        <v>422</v>
      </c>
      <c r="F109" s="3" t="s">
        <v>423</v>
      </c>
      <c r="G109" s="2" t="s">
        <v>133</v>
      </c>
      <c r="H109" s="1" t="s">
        <v>136</v>
      </c>
      <c r="I109" s="1" t="s">
        <v>137</v>
      </c>
      <c r="J109" s="2" t="s">
        <v>57</v>
      </c>
      <c r="K109" s="2">
        <v>7</v>
      </c>
      <c r="L109" s="2" t="s">
        <v>42</v>
      </c>
      <c r="M109" s="1">
        <v>0</v>
      </c>
      <c r="N109" s="1" t="s">
        <v>133</v>
      </c>
      <c r="O109" s="1" t="s">
        <v>136</v>
      </c>
      <c r="P109" s="1" t="s">
        <v>137</v>
      </c>
      <c r="Q109" s="2" t="s">
        <v>57</v>
      </c>
      <c r="R109" s="2">
        <v>7</v>
      </c>
      <c r="S109" s="2" t="s">
        <v>42</v>
      </c>
      <c r="T109" s="1">
        <v>0</v>
      </c>
      <c r="U109" s="1" t="s">
        <v>42</v>
      </c>
      <c r="V109" s="1">
        <v>0</v>
      </c>
      <c r="W109" s="11" t="s">
        <v>42</v>
      </c>
      <c r="X109" s="1" t="s">
        <v>43</v>
      </c>
      <c r="Y109" s="1">
        <v>0</v>
      </c>
      <c r="AB109" s="11">
        <f t="shared" si="6"/>
        <v>0</v>
      </c>
      <c r="AC109" s="11">
        <f t="shared" si="7"/>
        <v>0</v>
      </c>
      <c r="AD109" s="17">
        <v>0</v>
      </c>
      <c r="AE109" s="18">
        <f t="shared" si="8"/>
        <v>0</v>
      </c>
      <c r="AF109" s="11" t="str">
        <f t="shared" si="9"/>
        <v>Low</v>
      </c>
      <c r="AG109" s="14"/>
      <c r="AI109" s="22" t="str">
        <f t="shared" si="10"/>
        <v>Release</v>
      </c>
      <c r="AJ109" s="23"/>
    </row>
    <row r="110" spans="1:37" ht="28.8" hidden="1">
      <c r="A110" s="1" t="s">
        <v>132</v>
      </c>
      <c r="B110" s="1" t="s">
        <v>34</v>
      </c>
      <c r="C110" s="1" t="s">
        <v>52</v>
      </c>
      <c r="D110" s="2" t="s">
        <v>142</v>
      </c>
      <c r="E110" s="3" t="s">
        <v>424</v>
      </c>
      <c r="F110" s="3" t="s">
        <v>425</v>
      </c>
      <c r="G110" s="2" t="s">
        <v>142</v>
      </c>
      <c r="H110" s="1" t="s">
        <v>145</v>
      </c>
      <c r="I110" s="1" t="s">
        <v>146</v>
      </c>
      <c r="J110" s="2" t="s">
        <v>57</v>
      </c>
      <c r="K110" s="2">
        <v>5.5</v>
      </c>
      <c r="L110" s="2" t="s">
        <v>42</v>
      </c>
      <c r="M110" s="1">
        <v>0</v>
      </c>
      <c r="N110" s="1" t="s">
        <v>142</v>
      </c>
      <c r="O110" s="1" t="s">
        <v>145</v>
      </c>
      <c r="P110" s="1" t="s">
        <v>146</v>
      </c>
      <c r="Q110" s="2" t="s">
        <v>57</v>
      </c>
      <c r="R110" s="2">
        <v>5.5</v>
      </c>
      <c r="S110" s="2" t="s">
        <v>42</v>
      </c>
      <c r="T110" s="1">
        <v>0</v>
      </c>
      <c r="U110" s="1" t="s">
        <v>42</v>
      </c>
      <c r="V110" s="1">
        <v>0</v>
      </c>
      <c r="W110" s="11" t="s">
        <v>42</v>
      </c>
      <c r="X110" s="1" t="s">
        <v>43</v>
      </c>
      <c r="Y110" s="1">
        <v>0</v>
      </c>
      <c r="AB110" s="11">
        <f t="shared" si="6"/>
        <v>0</v>
      </c>
      <c r="AC110" s="11">
        <f t="shared" si="7"/>
        <v>0</v>
      </c>
      <c r="AD110" s="17">
        <v>0</v>
      </c>
      <c r="AE110" s="18">
        <f t="shared" si="8"/>
        <v>0</v>
      </c>
      <c r="AF110" s="11" t="str">
        <f t="shared" si="9"/>
        <v>Low</v>
      </c>
      <c r="AG110" s="14"/>
      <c r="AI110" s="22" t="str">
        <f t="shared" si="10"/>
        <v>Release</v>
      </c>
      <c r="AJ110" s="23"/>
    </row>
    <row r="111" spans="1:37" ht="28.8" hidden="1">
      <c r="A111" s="1" t="s">
        <v>132</v>
      </c>
      <c r="B111" s="1" t="s">
        <v>34</v>
      </c>
      <c r="C111" s="1" t="s">
        <v>35</v>
      </c>
      <c r="D111" s="2" t="s">
        <v>133</v>
      </c>
      <c r="E111" s="3" t="s">
        <v>426</v>
      </c>
      <c r="F111" s="3" t="s">
        <v>427</v>
      </c>
      <c r="G111" s="2" t="s">
        <v>133</v>
      </c>
      <c r="H111" s="1" t="s">
        <v>140</v>
      </c>
      <c r="I111" s="1" t="s">
        <v>141</v>
      </c>
      <c r="J111" s="2" t="s">
        <v>57</v>
      </c>
      <c r="K111" s="2">
        <v>7</v>
      </c>
      <c r="L111" s="2" t="s">
        <v>42</v>
      </c>
      <c r="M111" s="1">
        <v>0</v>
      </c>
      <c r="N111" s="1" t="s">
        <v>133</v>
      </c>
      <c r="O111" s="1" t="s">
        <v>140</v>
      </c>
      <c r="P111" s="1" t="s">
        <v>141</v>
      </c>
      <c r="Q111" s="2" t="s">
        <v>57</v>
      </c>
      <c r="R111" s="2">
        <v>7</v>
      </c>
      <c r="S111" s="2" t="s">
        <v>42</v>
      </c>
      <c r="T111" s="1">
        <v>0</v>
      </c>
      <c r="U111" s="1" t="s">
        <v>42</v>
      </c>
      <c r="V111" s="1">
        <v>0</v>
      </c>
      <c r="W111" s="11" t="s">
        <v>42</v>
      </c>
      <c r="X111" s="1" t="s">
        <v>43</v>
      </c>
      <c r="Y111" s="1">
        <v>0</v>
      </c>
      <c r="AB111" s="11">
        <f t="shared" si="6"/>
        <v>0</v>
      </c>
      <c r="AC111" s="11">
        <f t="shared" si="7"/>
        <v>0</v>
      </c>
      <c r="AD111" s="17">
        <v>0</v>
      </c>
      <c r="AE111" s="18">
        <f t="shared" si="8"/>
        <v>0</v>
      </c>
      <c r="AF111" s="11" t="str">
        <f t="shared" si="9"/>
        <v>Low</v>
      </c>
      <c r="AG111" s="14"/>
      <c r="AI111" s="22" t="str">
        <f t="shared" si="10"/>
        <v>Release</v>
      </c>
      <c r="AJ111" s="23"/>
    </row>
    <row r="112" spans="1:37" ht="57.6" hidden="1">
      <c r="A112" s="1" t="s">
        <v>132</v>
      </c>
      <c r="B112" s="1" t="s">
        <v>34</v>
      </c>
      <c r="C112" s="1" t="s">
        <v>35</v>
      </c>
      <c r="D112" s="2" t="s">
        <v>133</v>
      </c>
      <c r="E112" s="3" t="s">
        <v>428</v>
      </c>
      <c r="F112" s="3" t="s">
        <v>429</v>
      </c>
      <c r="G112" s="2" t="s">
        <v>133</v>
      </c>
      <c r="H112" s="1" t="s">
        <v>136</v>
      </c>
      <c r="I112" s="1" t="s">
        <v>137</v>
      </c>
      <c r="J112" s="2" t="s">
        <v>57</v>
      </c>
      <c r="K112" s="2">
        <v>7</v>
      </c>
      <c r="L112" s="2" t="s">
        <v>43</v>
      </c>
      <c r="M112" s="1">
        <v>75</v>
      </c>
      <c r="N112" s="1" t="s">
        <v>133</v>
      </c>
      <c r="O112" s="1" t="s">
        <v>430</v>
      </c>
      <c r="P112" s="1" t="s">
        <v>431</v>
      </c>
      <c r="Q112" s="2" t="s">
        <v>41</v>
      </c>
      <c r="R112" s="2">
        <v>19</v>
      </c>
      <c r="S112" s="2" t="s">
        <v>42</v>
      </c>
      <c r="T112" s="2">
        <v>0</v>
      </c>
      <c r="U112" s="1" t="s">
        <v>42</v>
      </c>
      <c r="V112" s="1">
        <v>0</v>
      </c>
      <c r="W112" s="11" t="s">
        <v>42</v>
      </c>
      <c r="X112" s="1" t="s">
        <v>42</v>
      </c>
      <c r="Y112" s="1">
        <v>1</v>
      </c>
      <c r="Z112" s="1" t="s">
        <v>58</v>
      </c>
      <c r="AA112" s="3" t="s">
        <v>432</v>
      </c>
      <c r="AB112" s="11">
        <f t="shared" si="6"/>
        <v>12</v>
      </c>
      <c r="AC112" s="11">
        <f t="shared" si="7"/>
        <v>75</v>
      </c>
      <c r="AD112" s="17">
        <v>0.75</v>
      </c>
      <c r="AE112" s="18">
        <f t="shared" si="8"/>
        <v>75</v>
      </c>
      <c r="AF112" s="11" t="str">
        <f t="shared" si="9"/>
        <v>Medium</v>
      </c>
      <c r="AG112" s="14" t="s">
        <v>433</v>
      </c>
      <c r="AH112" s="23" t="s">
        <v>703</v>
      </c>
      <c r="AI112" s="22" t="str">
        <f t="shared" si="10"/>
        <v>Investigate</v>
      </c>
      <c r="AJ112" s="22" t="s">
        <v>61</v>
      </c>
      <c r="AK112" s="3" t="s">
        <v>434</v>
      </c>
    </row>
    <row r="113" spans="1:37" ht="28.8" hidden="1">
      <c r="A113" s="1" t="s">
        <v>132</v>
      </c>
      <c r="B113" s="1" t="s">
        <v>34</v>
      </c>
      <c r="C113" s="1" t="s">
        <v>52</v>
      </c>
      <c r="D113" s="2" t="s">
        <v>133</v>
      </c>
      <c r="E113" s="3" t="s">
        <v>435</v>
      </c>
      <c r="F113" s="3" t="s">
        <v>436</v>
      </c>
      <c r="G113" s="2" t="s">
        <v>133</v>
      </c>
      <c r="H113" s="1" t="s">
        <v>136</v>
      </c>
      <c r="I113" s="1" t="s">
        <v>137</v>
      </c>
      <c r="J113" s="2" t="s">
        <v>57</v>
      </c>
      <c r="K113" s="2">
        <v>5.5</v>
      </c>
      <c r="L113" s="2" t="s">
        <v>42</v>
      </c>
      <c r="M113" s="1">
        <v>0</v>
      </c>
      <c r="N113" s="1" t="s">
        <v>133</v>
      </c>
      <c r="O113" s="1" t="s">
        <v>136</v>
      </c>
      <c r="P113" s="1" t="s">
        <v>137</v>
      </c>
      <c r="Q113" s="2" t="s">
        <v>57</v>
      </c>
      <c r="R113" s="2">
        <v>5.5</v>
      </c>
      <c r="S113" s="2" t="s">
        <v>42</v>
      </c>
      <c r="T113" s="1">
        <v>0</v>
      </c>
      <c r="U113" s="1" t="s">
        <v>42</v>
      </c>
      <c r="V113" s="1">
        <v>0</v>
      </c>
      <c r="W113" s="11" t="s">
        <v>42</v>
      </c>
      <c r="X113" s="1" t="s">
        <v>43</v>
      </c>
      <c r="Y113" s="1">
        <v>0</v>
      </c>
      <c r="AB113" s="11">
        <f t="shared" si="6"/>
        <v>0</v>
      </c>
      <c r="AC113" s="11">
        <f t="shared" si="7"/>
        <v>0</v>
      </c>
      <c r="AD113" s="17">
        <v>0</v>
      </c>
      <c r="AE113" s="18">
        <f t="shared" si="8"/>
        <v>0</v>
      </c>
      <c r="AF113" s="11" t="str">
        <f t="shared" si="9"/>
        <v>Low</v>
      </c>
      <c r="AG113" s="14"/>
      <c r="AI113" s="22" t="str">
        <f t="shared" si="10"/>
        <v>Release</v>
      </c>
      <c r="AJ113" s="23"/>
    </row>
    <row r="114" spans="1:37" ht="28.8" hidden="1">
      <c r="A114" s="1" t="s">
        <v>132</v>
      </c>
      <c r="B114" s="1" t="s">
        <v>34</v>
      </c>
      <c r="C114" s="1" t="s">
        <v>35</v>
      </c>
      <c r="D114" s="2" t="s">
        <v>142</v>
      </c>
      <c r="E114" s="3" t="s">
        <v>437</v>
      </c>
      <c r="F114" s="3" t="s">
        <v>438</v>
      </c>
      <c r="G114" s="2" t="s">
        <v>142</v>
      </c>
      <c r="H114" s="1" t="s">
        <v>145</v>
      </c>
      <c r="I114" s="1" t="s">
        <v>146</v>
      </c>
      <c r="J114" s="2" t="s">
        <v>57</v>
      </c>
      <c r="K114" s="2">
        <v>7</v>
      </c>
      <c r="L114" s="2" t="s">
        <v>42</v>
      </c>
      <c r="M114" s="1">
        <v>0</v>
      </c>
      <c r="N114" s="1" t="s">
        <v>142</v>
      </c>
      <c r="O114" s="1" t="s">
        <v>145</v>
      </c>
      <c r="P114" s="1" t="s">
        <v>146</v>
      </c>
      <c r="Q114" s="2" t="s">
        <v>57</v>
      </c>
      <c r="R114" s="2">
        <v>7</v>
      </c>
      <c r="S114" s="2" t="s">
        <v>42</v>
      </c>
      <c r="T114" s="1">
        <v>0</v>
      </c>
      <c r="U114" s="1" t="s">
        <v>42</v>
      </c>
      <c r="V114" s="1">
        <v>0</v>
      </c>
      <c r="W114" s="11" t="s">
        <v>42</v>
      </c>
      <c r="X114" s="1" t="s">
        <v>43</v>
      </c>
      <c r="Y114" s="1">
        <v>0</v>
      </c>
      <c r="AB114" s="11">
        <f t="shared" si="6"/>
        <v>0</v>
      </c>
      <c r="AC114" s="11">
        <f t="shared" si="7"/>
        <v>0</v>
      </c>
      <c r="AD114" s="17">
        <v>0</v>
      </c>
      <c r="AE114" s="18">
        <f t="shared" si="8"/>
        <v>0</v>
      </c>
      <c r="AF114" s="11" t="str">
        <f t="shared" si="9"/>
        <v>Low</v>
      </c>
      <c r="AG114" s="14"/>
      <c r="AI114" s="22" t="str">
        <f t="shared" si="10"/>
        <v>Release</v>
      </c>
      <c r="AJ114" s="23"/>
    </row>
    <row r="115" spans="1:37" ht="28.8" hidden="1">
      <c r="A115" s="1" t="s">
        <v>132</v>
      </c>
      <c r="B115" s="1" t="s">
        <v>34</v>
      </c>
      <c r="C115" s="1" t="s">
        <v>52</v>
      </c>
      <c r="D115" s="2" t="s">
        <v>133</v>
      </c>
      <c r="E115" s="3" t="s">
        <v>439</v>
      </c>
      <c r="F115" s="3" t="s">
        <v>440</v>
      </c>
      <c r="G115" s="2" t="s">
        <v>133</v>
      </c>
      <c r="H115" s="1" t="s">
        <v>140</v>
      </c>
      <c r="I115" s="1" t="s">
        <v>141</v>
      </c>
      <c r="J115" s="2" t="s">
        <v>57</v>
      </c>
      <c r="K115" s="2">
        <v>5.5</v>
      </c>
      <c r="L115" s="2" t="s">
        <v>42</v>
      </c>
      <c r="M115" s="1">
        <v>0</v>
      </c>
      <c r="N115" s="1" t="s">
        <v>133</v>
      </c>
      <c r="O115" s="1" t="s">
        <v>140</v>
      </c>
      <c r="P115" s="1" t="s">
        <v>141</v>
      </c>
      <c r="Q115" s="2" t="s">
        <v>57</v>
      </c>
      <c r="R115" s="2">
        <v>5.5</v>
      </c>
      <c r="S115" s="2" t="s">
        <v>42</v>
      </c>
      <c r="T115" s="1">
        <v>0</v>
      </c>
      <c r="U115" s="1" t="s">
        <v>42</v>
      </c>
      <c r="V115" s="1">
        <v>0</v>
      </c>
      <c r="W115" s="11" t="s">
        <v>42</v>
      </c>
      <c r="X115" s="1" t="s">
        <v>43</v>
      </c>
      <c r="Y115" s="1">
        <v>0</v>
      </c>
      <c r="AB115" s="11">
        <f t="shared" si="6"/>
        <v>0</v>
      </c>
      <c r="AC115" s="11">
        <f t="shared" si="7"/>
        <v>0</v>
      </c>
      <c r="AD115" s="17">
        <v>0</v>
      </c>
      <c r="AE115" s="18">
        <f t="shared" si="8"/>
        <v>0</v>
      </c>
      <c r="AF115" s="11" t="str">
        <f t="shared" si="9"/>
        <v>Low</v>
      </c>
      <c r="AG115" s="14"/>
      <c r="AI115" s="22" t="str">
        <f t="shared" si="10"/>
        <v>Release</v>
      </c>
      <c r="AJ115" s="23"/>
    </row>
    <row r="116" spans="1:37" ht="43.2" hidden="1">
      <c r="A116" s="1" t="s">
        <v>132</v>
      </c>
      <c r="B116" s="1" t="s">
        <v>34</v>
      </c>
      <c r="C116" s="1" t="s">
        <v>35</v>
      </c>
      <c r="D116" s="2" t="s">
        <v>133</v>
      </c>
      <c r="E116" s="3" t="s">
        <v>441</v>
      </c>
      <c r="F116" s="3" t="s">
        <v>442</v>
      </c>
      <c r="G116" s="2" t="s">
        <v>133</v>
      </c>
      <c r="H116" s="1" t="s">
        <v>140</v>
      </c>
      <c r="I116" s="1" t="s">
        <v>141</v>
      </c>
      <c r="J116" s="2" t="s">
        <v>57</v>
      </c>
      <c r="K116" s="2">
        <v>7</v>
      </c>
      <c r="L116" s="2" t="s">
        <v>42</v>
      </c>
      <c r="M116" s="9">
        <v>38</v>
      </c>
      <c r="N116" s="1" t="s">
        <v>133</v>
      </c>
      <c r="O116" s="1" t="s">
        <v>140</v>
      </c>
      <c r="P116" s="1" t="s">
        <v>141</v>
      </c>
      <c r="Q116" s="2" t="s">
        <v>57</v>
      </c>
      <c r="R116" s="2">
        <v>7</v>
      </c>
      <c r="S116" s="2" t="s">
        <v>43</v>
      </c>
      <c r="T116" s="9">
        <v>60</v>
      </c>
      <c r="U116" s="1" t="s">
        <v>42</v>
      </c>
      <c r="V116" s="1">
        <v>0</v>
      </c>
      <c r="W116" s="11" t="s">
        <v>42</v>
      </c>
      <c r="X116" s="1" t="s">
        <v>43</v>
      </c>
      <c r="Y116" s="1">
        <v>1</v>
      </c>
      <c r="Z116" s="1" t="s">
        <v>71</v>
      </c>
      <c r="AA116" s="3" t="s">
        <v>443</v>
      </c>
      <c r="AB116" s="11">
        <f t="shared" si="6"/>
        <v>0</v>
      </c>
      <c r="AC116" s="11">
        <f t="shared" si="7"/>
        <v>60</v>
      </c>
      <c r="AD116" s="17">
        <v>0.44</v>
      </c>
      <c r="AE116" s="18">
        <f t="shared" si="8"/>
        <v>60</v>
      </c>
      <c r="AF116" s="11" t="str">
        <f t="shared" si="9"/>
        <v>Medium</v>
      </c>
      <c r="AG116" s="14" t="s">
        <v>444</v>
      </c>
      <c r="AH116" s="22" t="s">
        <v>701</v>
      </c>
      <c r="AI116" s="22" t="str">
        <f t="shared" si="10"/>
        <v>Investigate</v>
      </c>
      <c r="AJ116" s="22" t="s">
        <v>702</v>
      </c>
      <c r="AK116" s="3" t="s">
        <v>445</v>
      </c>
    </row>
    <row r="117" spans="1:37" ht="28.8" hidden="1">
      <c r="A117" s="1" t="s">
        <v>132</v>
      </c>
      <c r="B117" s="1" t="s">
        <v>34</v>
      </c>
      <c r="C117" s="1" t="s">
        <v>52</v>
      </c>
      <c r="D117" s="2" t="s">
        <v>133</v>
      </c>
      <c r="E117" s="3" t="s">
        <v>446</v>
      </c>
      <c r="F117" s="3" t="s">
        <v>447</v>
      </c>
      <c r="G117" s="2" t="s">
        <v>133</v>
      </c>
      <c r="H117" s="1" t="s">
        <v>136</v>
      </c>
      <c r="I117" s="1" t="s">
        <v>137</v>
      </c>
      <c r="J117" s="2" t="s">
        <v>57</v>
      </c>
      <c r="K117" s="2">
        <v>5.5</v>
      </c>
      <c r="L117" s="2" t="s">
        <v>42</v>
      </c>
      <c r="M117" s="1">
        <v>0</v>
      </c>
      <c r="N117" s="1" t="s">
        <v>133</v>
      </c>
      <c r="O117" s="1" t="s">
        <v>136</v>
      </c>
      <c r="P117" s="1" t="s">
        <v>137</v>
      </c>
      <c r="Q117" s="2" t="s">
        <v>57</v>
      </c>
      <c r="R117" s="2">
        <v>5.5</v>
      </c>
      <c r="S117" s="2" t="s">
        <v>42</v>
      </c>
      <c r="T117" s="1">
        <v>0</v>
      </c>
      <c r="U117" s="1" t="s">
        <v>42</v>
      </c>
      <c r="V117" s="1">
        <v>0</v>
      </c>
      <c r="W117" s="11" t="s">
        <v>42</v>
      </c>
      <c r="X117" s="1" t="s">
        <v>43</v>
      </c>
      <c r="Y117" s="1">
        <v>0</v>
      </c>
      <c r="AB117" s="11">
        <f t="shared" si="6"/>
        <v>0</v>
      </c>
      <c r="AC117" s="11">
        <f t="shared" si="7"/>
        <v>0</v>
      </c>
      <c r="AD117" s="17">
        <v>0</v>
      </c>
      <c r="AE117" s="18">
        <f t="shared" si="8"/>
        <v>0</v>
      </c>
      <c r="AF117" s="11" t="str">
        <f t="shared" si="9"/>
        <v>Low</v>
      </c>
      <c r="AG117" s="14"/>
      <c r="AI117" s="22" t="str">
        <f t="shared" si="10"/>
        <v>Release</v>
      </c>
      <c r="AJ117" s="23"/>
    </row>
    <row r="118" spans="1:37" ht="28.8" hidden="1">
      <c r="A118" s="1" t="s">
        <v>132</v>
      </c>
      <c r="B118" s="1" t="s">
        <v>34</v>
      </c>
      <c r="C118" s="1" t="s">
        <v>35</v>
      </c>
      <c r="D118" s="2" t="s">
        <v>133</v>
      </c>
      <c r="E118" s="3" t="s">
        <v>448</v>
      </c>
      <c r="F118" s="3" t="s">
        <v>449</v>
      </c>
      <c r="G118" s="2" t="s">
        <v>133</v>
      </c>
      <c r="H118" s="1" t="s">
        <v>136</v>
      </c>
      <c r="I118" s="1" t="s">
        <v>137</v>
      </c>
      <c r="J118" s="2" t="s">
        <v>57</v>
      </c>
      <c r="K118" s="2">
        <v>7</v>
      </c>
      <c r="L118" s="2" t="s">
        <v>42</v>
      </c>
      <c r="M118" s="1">
        <v>0</v>
      </c>
      <c r="N118" s="1" t="s">
        <v>133</v>
      </c>
      <c r="O118" s="1" t="s">
        <v>136</v>
      </c>
      <c r="P118" s="1" t="s">
        <v>137</v>
      </c>
      <c r="Q118" s="2" t="s">
        <v>57</v>
      </c>
      <c r="R118" s="2">
        <v>7</v>
      </c>
      <c r="S118" s="2" t="s">
        <v>42</v>
      </c>
      <c r="T118" s="1">
        <v>0</v>
      </c>
      <c r="U118" s="1" t="s">
        <v>42</v>
      </c>
      <c r="V118" s="1">
        <v>0</v>
      </c>
      <c r="W118" s="11" t="s">
        <v>42</v>
      </c>
      <c r="X118" s="1" t="s">
        <v>43</v>
      </c>
      <c r="Y118" s="1">
        <v>0</v>
      </c>
      <c r="AB118" s="11">
        <f t="shared" si="6"/>
        <v>0</v>
      </c>
      <c r="AC118" s="11">
        <f t="shared" si="7"/>
        <v>0</v>
      </c>
      <c r="AD118" s="17">
        <v>0</v>
      </c>
      <c r="AE118" s="18">
        <f t="shared" si="8"/>
        <v>0</v>
      </c>
      <c r="AF118" s="11" t="str">
        <f t="shared" si="9"/>
        <v>Low</v>
      </c>
      <c r="AG118" s="14"/>
      <c r="AI118" s="22" t="str">
        <f t="shared" si="10"/>
        <v>Release</v>
      </c>
      <c r="AJ118" s="23"/>
    </row>
    <row r="119" spans="1:37" ht="28.8" hidden="1">
      <c r="A119" s="1" t="s">
        <v>132</v>
      </c>
      <c r="B119" s="1" t="s">
        <v>34</v>
      </c>
      <c r="C119" s="1" t="s">
        <v>52</v>
      </c>
      <c r="D119" s="2" t="s">
        <v>142</v>
      </c>
      <c r="E119" s="3" t="s">
        <v>450</v>
      </c>
      <c r="F119" s="3" t="s">
        <v>451</v>
      </c>
      <c r="G119" s="2" t="s">
        <v>142</v>
      </c>
      <c r="H119" s="1" t="s">
        <v>145</v>
      </c>
      <c r="I119" s="1" t="s">
        <v>146</v>
      </c>
      <c r="J119" s="2" t="s">
        <v>57</v>
      </c>
      <c r="K119" s="2">
        <v>5.5</v>
      </c>
      <c r="L119" s="2" t="s">
        <v>42</v>
      </c>
      <c r="M119" s="1">
        <v>0</v>
      </c>
      <c r="N119" s="1" t="s">
        <v>142</v>
      </c>
      <c r="O119" s="1" t="s">
        <v>145</v>
      </c>
      <c r="P119" s="1" t="s">
        <v>146</v>
      </c>
      <c r="Q119" s="2" t="s">
        <v>57</v>
      </c>
      <c r="R119" s="2">
        <v>5.5</v>
      </c>
      <c r="S119" s="2" t="s">
        <v>42</v>
      </c>
      <c r="T119" s="1">
        <v>0</v>
      </c>
      <c r="U119" s="1" t="s">
        <v>42</v>
      </c>
      <c r="V119" s="1">
        <v>0</v>
      </c>
      <c r="W119" s="11" t="s">
        <v>42</v>
      </c>
      <c r="X119" s="1" t="s">
        <v>43</v>
      </c>
      <c r="Y119" s="1">
        <v>0</v>
      </c>
      <c r="AB119" s="11">
        <f t="shared" si="6"/>
        <v>0</v>
      </c>
      <c r="AC119" s="11">
        <f t="shared" si="7"/>
        <v>0</v>
      </c>
      <c r="AD119" s="17">
        <v>0</v>
      </c>
      <c r="AE119" s="18">
        <f t="shared" si="8"/>
        <v>0</v>
      </c>
      <c r="AF119" s="11" t="str">
        <f t="shared" si="9"/>
        <v>Low</v>
      </c>
      <c r="AG119" s="14"/>
      <c r="AI119" s="22" t="str">
        <f t="shared" si="10"/>
        <v>Release</v>
      </c>
      <c r="AJ119" s="23"/>
    </row>
    <row r="120" spans="1:37" ht="72" hidden="1">
      <c r="A120" s="1" t="s">
        <v>132</v>
      </c>
      <c r="B120" s="1" t="s">
        <v>34</v>
      </c>
      <c r="C120" s="1" t="s">
        <v>35</v>
      </c>
      <c r="D120" s="2" t="s">
        <v>133</v>
      </c>
      <c r="E120" s="3" t="s">
        <v>452</v>
      </c>
      <c r="F120" s="3" t="s">
        <v>453</v>
      </c>
      <c r="G120" s="2" t="s">
        <v>133</v>
      </c>
      <c r="H120" s="1" t="s">
        <v>454</v>
      </c>
      <c r="I120" s="1" t="s">
        <v>455</v>
      </c>
      <c r="J120" s="2" t="s">
        <v>57</v>
      </c>
      <c r="K120" s="2">
        <v>7</v>
      </c>
      <c r="L120" s="2" t="s">
        <v>43</v>
      </c>
      <c r="M120" s="1">
        <v>25</v>
      </c>
      <c r="N120" s="1" t="s">
        <v>142</v>
      </c>
      <c r="O120" s="1" t="s">
        <v>274</v>
      </c>
      <c r="P120" s="1" t="s">
        <v>275</v>
      </c>
      <c r="Q120" s="2" t="s">
        <v>57</v>
      </c>
      <c r="R120" s="2">
        <v>7</v>
      </c>
      <c r="S120" s="2" t="s">
        <v>42</v>
      </c>
      <c r="T120" s="2">
        <v>0</v>
      </c>
      <c r="U120" s="1" t="s">
        <v>42</v>
      </c>
      <c r="V120" s="1">
        <v>0</v>
      </c>
      <c r="W120" s="11" t="s">
        <v>42</v>
      </c>
      <c r="X120" s="1" t="s">
        <v>42</v>
      </c>
      <c r="Y120" s="1">
        <v>1</v>
      </c>
      <c r="Z120" s="1" t="s">
        <v>58</v>
      </c>
      <c r="AA120" s="3" t="s">
        <v>456</v>
      </c>
      <c r="AB120" s="11">
        <f t="shared" si="6"/>
        <v>0</v>
      </c>
      <c r="AC120" s="11">
        <f t="shared" si="7"/>
        <v>25</v>
      </c>
      <c r="AD120" s="17">
        <v>0.2</v>
      </c>
      <c r="AE120" s="18">
        <f t="shared" si="8"/>
        <v>0</v>
      </c>
      <c r="AF120" s="11" t="str">
        <f t="shared" si="9"/>
        <v>Low</v>
      </c>
      <c r="AG120" s="14" t="s">
        <v>457</v>
      </c>
      <c r="AH120" s="23" t="s">
        <v>703</v>
      </c>
      <c r="AI120" s="22" t="str">
        <f t="shared" si="10"/>
        <v>Release</v>
      </c>
      <c r="AJ120" s="24" t="s">
        <v>322</v>
      </c>
      <c r="AK120" s="3" t="s">
        <v>458</v>
      </c>
    </row>
    <row r="121" spans="1:37" ht="28.8" hidden="1">
      <c r="A121" s="1" t="s">
        <v>164</v>
      </c>
      <c r="B121" s="1" t="s">
        <v>34</v>
      </c>
      <c r="C121" s="1" t="s">
        <v>35</v>
      </c>
      <c r="D121" s="2" t="s">
        <v>165</v>
      </c>
      <c r="E121" s="3" t="s">
        <v>459</v>
      </c>
      <c r="F121" s="3" t="s">
        <v>460</v>
      </c>
      <c r="G121" s="2" t="s">
        <v>165</v>
      </c>
      <c r="H121" s="1" t="s">
        <v>168</v>
      </c>
      <c r="I121" s="1" t="s">
        <v>169</v>
      </c>
      <c r="J121" s="2" t="s">
        <v>41</v>
      </c>
      <c r="K121" s="2">
        <v>19</v>
      </c>
      <c r="L121" s="2" t="s">
        <v>42</v>
      </c>
      <c r="M121" s="1">
        <v>0</v>
      </c>
      <c r="N121" s="1" t="s">
        <v>165</v>
      </c>
      <c r="O121" s="1" t="s">
        <v>168</v>
      </c>
      <c r="P121" s="1" t="s">
        <v>169</v>
      </c>
      <c r="Q121" s="2" t="s">
        <v>41</v>
      </c>
      <c r="R121" s="2">
        <v>19</v>
      </c>
      <c r="S121" s="2" t="s">
        <v>42</v>
      </c>
      <c r="T121" s="1">
        <v>0</v>
      </c>
      <c r="U121" s="1" t="s">
        <v>42</v>
      </c>
      <c r="V121" s="1">
        <v>0</v>
      </c>
      <c r="W121" s="11" t="s">
        <v>42</v>
      </c>
      <c r="X121" s="1" t="s">
        <v>43</v>
      </c>
      <c r="Y121" s="1">
        <v>0</v>
      </c>
      <c r="AB121" s="11">
        <f t="shared" si="6"/>
        <v>0</v>
      </c>
      <c r="AC121" s="11">
        <f t="shared" si="7"/>
        <v>0</v>
      </c>
      <c r="AD121" s="17">
        <v>0</v>
      </c>
      <c r="AE121" s="18">
        <f t="shared" si="8"/>
        <v>0</v>
      </c>
      <c r="AF121" s="11" t="str">
        <f t="shared" si="9"/>
        <v>Low</v>
      </c>
      <c r="AG121" s="14"/>
      <c r="AI121" s="22" t="str">
        <f t="shared" si="10"/>
        <v>Release</v>
      </c>
      <c r="AJ121" s="23"/>
    </row>
    <row r="122" spans="1:37" ht="28.8" hidden="1">
      <c r="A122" s="1" t="s">
        <v>164</v>
      </c>
      <c r="B122" s="1" t="s">
        <v>34</v>
      </c>
      <c r="C122" s="1" t="s">
        <v>52</v>
      </c>
      <c r="D122" s="2" t="s">
        <v>165</v>
      </c>
      <c r="E122" s="3" t="s">
        <v>461</v>
      </c>
      <c r="F122" s="3" t="s">
        <v>462</v>
      </c>
      <c r="G122" s="2" t="s">
        <v>165</v>
      </c>
      <c r="H122" s="1" t="s">
        <v>176</v>
      </c>
      <c r="I122" s="1" t="s">
        <v>177</v>
      </c>
      <c r="J122" s="2" t="s">
        <v>41</v>
      </c>
      <c r="K122" s="2">
        <v>20</v>
      </c>
      <c r="L122" s="2" t="s">
        <v>42</v>
      </c>
      <c r="M122" s="1">
        <v>0</v>
      </c>
      <c r="N122" s="1" t="s">
        <v>165</v>
      </c>
      <c r="O122" s="1" t="s">
        <v>176</v>
      </c>
      <c r="P122" s="1" t="s">
        <v>177</v>
      </c>
      <c r="Q122" s="2" t="s">
        <v>41</v>
      </c>
      <c r="R122" s="2">
        <v>20</v>
      </c>
      <c r="S122" s="2" t="s">
        <v>42</v>
      </c>
      <c r="T122" s="1">
        <v>0</v>
      </c>
      <c r="U122" s="1" t="s">
        <v>42</v>
      </c>
      <c r="V122" s="1">
        <v>0</v>
      </c>
      <c r="W122" s="11" t="s">
        <v>42</v>
      </c>
      <c r="X122" s="1" t="s">
        <v>43</v>
      </c>
      <c r="Y122" s="1">
        <v>0</v>
      </c>
      <c r="AB122" s="11">
        <f t="shared" si="6"/>
        <v>0</v>
      </c>
      <c r="AC122" s="11">
        <f t="shared" si="7"/>
        <v>0</v>
      </c>
      <c r="AD122" s="17">
        <v>0</v>
      </c>
      <c r="AE122" s="18">
        <f t="shared" si="8"/>
        <v>0</v>
      </c>
      <c r="AF122" s="11" t="str">
        <f t="shared" si="9"/>
        <v>Low</v>
      </c>
      <c r="AG122" s="14"/>
      <c r="AI122" s="22" t="str">
        <f t="shared" si="10"/>
        <v>Release</v>
      </c>
      <c r="AJ122" s="23"/>
    </row>
    <row r="123" spans="1:37" ht="28.8" hidden="1">
      <c r="A123" s="1" t="s">
        <v>164</v>
      </c>
      <c r="B123" s="1" t="s">
        <v>34</v>
      </c>
      <c r="C123" s="1" t="s">
        <v>35</v>
      </c>
      <c r="D123" s="2" t="s">
        <v>165</v>
      </c>
      <c r="E123" s="3" t="s">
        <v>463</v>
      </c>
      <c r="F123" s="3" t="s">
        <v>464</v>
      </c>
      <c r="G123" s="2" t="s">
        <v>165</v>
      </c>
      <c r="H123" s="1" t="s">
        <v>172</v>
      </c>
      <c r="I123" s="1" t="s">
        <v>173</v>
      </c>
      <c r="J123" s="2" t="s">
        <v>41</v>
      </c>
      <c r="K123" s="2">
        <v>19</v>
      </c>
      <c r="L123" s="2" t="s">
        <v>42</v>
      </c>
      <c r="M123" s="1">
        <v>0</v>
      </c>
      <c r="N123" s="1" t="s">
        <v>165</v>
      </c>
      <c r="O123" s="1" t="s">
        <v>172</v>
      </c>
      <c r="P123" s="1" t="s">
        <v>173</v>
      </c>
      <c r="Q123" s="2" t="s">
        <v>41</v>
      </c>
      <c r="R123" s="2">
        <v>19</v>
      </c>
      <c r="S123" s="2" t="s">
        <v>42</v>
      </c>
      <c r="T123" s="1">
        <v>0</v>
      </c>
      <c r="U123" s="1" t="s">
        <v>42</v>
      </c>
      <c r="V123" s="1">
        <v>0</v>
      </c>
      <c r="W123" s="11" t="s">
        <v>42</v>
      </c>
      <c r="X123" s="1" t="s">
        <v>43</v>
      </c>
      <c r="Y123" s="1">
        <v>0</v>
      </c>
      <c r="AB123" s="11">
        <f t="shared" si="6"/>
        <v>0</v>
      </c>
      <c r="AC123" s="11">
        <f t="shared" si="7"/>
        <v>0</v>
      </c>
      <c r="AD123" s="17">
        <v>0</v>
      </c>
      <c r="AE123" s="18">
        <f t="shared" si="8"/>
        <v>0</v>
      </c>
      <c r="AF123" s="11" t="str">
        <f t="shared" si="9"/>
        <v>Low</v>
      </c>
      <c r="AG123" s="14"/>
      <c r="AI123" s="22" t="str">
        <f t="shared" si="10"/>
        <v>Release</v>
      </c>
      <c r="AJ123" s="23"/>
    </row>
    <row r="124" spans="1:37" ht="43.2">
      <c r="A124" s="1" t="s">
        <v>164</v>
      </c>
      <c r="B124" s="1" t="s">
        <v>34</v>
      </c>
      <c r="C124" s="1" t="s">
        <v>52</v>
      </c>
      <c r="D124" s="2" t="s">
        <v>165</v>
      </c>
      <c r="E124" s="3" t="s">
        <v>465</v>
      </c>
      <c r="F124" s="3" t="s">
        <v>466</v>
      </c>
      <c r="G124" s="2" t="s">
        <v>165</v>
      </c>
      <c r="H124" s="1" t="s">
        <v>168</v>
      </c>
      <c r="I124" s="1" t="s">
        <v>169</v>
      </c>
      <c r="J124" s="2" t="s">
        <v>41</v>
      </c>
      <c r="K124" s="2">
        <v>20</v>
      </c>
      <c r="L124" s="2" t="s">
        <v>42</v>
      </c>
      <c r="M124" s="1">
        <v>0</v>
      </c>
      <c r="N124" s="1" t="s">
        <v>165</v>
      </c>
      <c r="O124" s="1" t="s">
        <v>168</v>
      </c>
      <c r="P124" s="1" t="s">
        <v>169</v>
      </c>
      <c r="Q124" s="2" t="s">
        <v>41</v>
      </c>
      <c r="R124" s="2">
        <v>20</v>
      </c>
      <c r="S124" s="2" t="s">
        <v>42</v>
      </c>
      <c r="T124" s="1">
        <v>0</v>
      </c>
      <c r="U124" s="1" t="s">
        <v>43</v>
      </c>
      <c r="V124" s="1">
        <v>40</v>
      </c>
      <c r="W124" s="11" t="s">
        <v>43</v>
      </c>
      <c r="X124" s="1" t="s">
        <v>43</v>
      </c>
      <c r="Y124" s="1">
        <v>1</v>
      </c>
      <c r="Z124" s="1" t="s">
        <v>91</v>
      </c>
      <c r="AA124" s="3" t="s">
        <v>467</v>
      </c>
      <c r="AB124" s="11">
        <f t="shared" si="6"/>
        <v>0</v>
      </c>
      <c r="AC124" s="11">
        <f t="shared" si="7"/>
        <v>40</v>
      </c>
      <c r="AD124" s="17">
        <v>0.28000000000000003</v>
      </c>
      <c r="AE124" s="18">
        <f t="shared" si="8"/>
        <v>40</v>
      </c>
      <c r="AF124" s="11" t="str">
        <f t="shared" si="9"/>
        <v>Medium</v>
      </c>
      <c r="AG124" s="14" t="s">
        <v>385</v>
      </c>
      <c r="AH124" s="22" t="s">
        <v>696</v>
      </c>
      <c r="AI124" s="22" t="str">
        <f t="shared" si="10"/>
        <v>Investigate</v>
      </c>
      <c r="AJ124" s="22" t="s">
        <v>702</v>
      </c>
      <c r="AK124" s="3" t="s">
        <v>468</v>
      </c>
    </row>
    <row r="125" spans="1:37" ht="28.8" hidden="1">
      <c r="A125" s="1" t="s">
        <v>164</v>
      </c>
      <c r="B125" s="1" t="s">
        <v>34</v>
      </c>
      <c r="C125" s="1" t="s">
        <v>35</v>
      </c>
      <c r="D125" s="2" t="s">
        <v>165</v>
      </c>
      <c r="E125" s="3" t="s">
        <v>469</v>
      </c>
      <c r="F125" s="3" t="s">
        <v>470</v>
      </c>
      <c r="G125" s="2" t="s">
        <v>165</v>
      </c>
      <c r="H125" s="1" t="s">
        <v>176</v>
      </c>
      <c r="I125" s="1" t="s">
        <v>177</v>
      </c>
      <c r="J125" s="2" t="s">
        <v>41</v>
      </c>
      <c r="K125" s="2">
        <v>19</v>
      </c>
      <c r="L125" s="2" t="s">
        <v>42</v>
      </c>
      <c r="M125" s="1">
        <v>0</v>
      </c>
      <c r="N125" s="1" t="s">
        <v>165</v>
      </c>
      <c r="O125" s="1" t="s">
        <v>176</v>
      </c>
      <c r="P125" s="1" t="s">
        <v>177</v>
      </c>
      <c r="Q125" s="2" t="s">
        <v>41</v>
      </c>
      <c r="R125" s="2">
        <v>19</v>
      </c>
      <c r="S125" s="2" t="s">
        <v>42</v>
      </c>
      <c r="T125" s="1">
        <v>0</v>
      </c>
      <c r="U125" s="1" t="s">
        <v>42</v>
      </c>
      <c r="V125" s="1">
        <v>0</v>
      </c>
      <c r="W125" s="11" t="s">
        <v>42</v>
      </c>
      <c r="X125" s="1" t="s">
        <v>43</v>
      </c>
      <c r="Y125" s="1">
        <v>0</v>
      </c>
      <c r="AB125" s="11">
        <f t="shared" si="6"/>
        <v>0</v>
      </c>
      <c r="AC125" s="11">
        <f t="shared" si="7"/>
        <v>0</v>
      </c>
      <c r="AD125" s="17">
        <v>0</v>
      </c>
      <c r="AE125" s="18">
        <f t="shared" si="8"/>
        <v>0</v>
      </c>
      <c r="AF125" s="11" t="str">
        <f t="shared" si="9"/>
        <v>Low</v>
      </c>
      <c r="AG125" s="14"/>
      <c r="AI125" s="22" t="str">
        <f t="shared" si="10"/>
        <v>Release</v>
      </c>
      <c r="AJ125" s="23"/>
    </row>
    <row r="126" spans="1:37" ht="28.8" hidden="1">
      <c r="A126" s="1" t="s">
        <v>164</v>
      </c>
      <c r="B126" s="1" t="s">
        <v>34</v>
      </c>
      <c r="C126" s="1" t="s">
        <v>52</v>
      </c>
      <c r="D126" s="2" t="s">
        <v>165</v>
      </c>
      <c r="E126" s="3" t="s">
        <v>471</v>
      </c>
      <c r="F126" s="3" t="s">
        <v>472</v>
      </c>
      <c r="G126" s="2" t="s">
        <v>165</v>
      </c>
      <c r="H126" s="1" t="s">
        <v>172</v>
      </c>
      <c r="I126" s="1" t="s">
        <v>173</v>
      </c>
      <c r="J126" s="2" t="s">
        <v>41</v>
      </c>
      <c r="K126" s="2">
        <v>20</v>
      </c>
      <c r="L126" s="2" t="s">
        <v>42</v>
      </c>
      <c r="M126" s="1">
        <v>0</v>
      </c>
      <c r="N126" s="1" t="s">
        <v>165</v>
      </c>
      <c r="O126" s="1" t="s">
        <v>172</v>
      </c>
      <c r="P126" s="1" t="s">
        <v>173</v>
      </c>
      <c r="Q126" s="2" t="s">
        <v>41</v>
      </c>
      <c r="R126" s="2">
        <v>20</v>
      </c>
      <c r="S126" s="2" t="s">
        <v>42</v>
      </c>
      <c r="T126" s="1">
        <v>0</v>
      </c>
      <c r="U126" s="1" t="s">
        <v>42</v>
      </c>
      <c r="V126" s="1">
        <v>0</v>
      </c>
      <c r="W126" s="11" t="s">
        <v>42</v>
      </c>
      <c r="X126" s="1" t="s">
        <v>43</v>
      </c>
      <c r="Y126" s="1">
        <v>0</v>
      </c>
      <c r="AB126" s="11">
        <f t="shared" si="6"/>
        <v>0</v>
      </c>
      <c r="AC126" s="11">
        <f t="shared" si="7"/>
        <v>0</v>
      </c>
      <c r="AD126" s="17">
        <v>0</v>
      </c>
      <c r="AE126" s="18">
        <f t="shared" si="8"/>
        <v>0</v>
      </c>
      <c r="AF126" s="11" t="str">
        <f t="shared" si="9"/>
        <v>Low</v>
      </c>
      <c r="AG126" s="14"/>
      <c r="AI126" s="22" t="str">
        <f t="shared" si="10"/>
        <v>Release</v>
      </c>
      <c r="AJ126" s="23"/>
    </row>
    <row r="127" spans="1:37" ht="28.8" hidden="1">
      <c r="A127" s="1" t="s">
        <v>164</v>
      </c>
      <c r="B127" s="1" t="s">
        <v>34</v>
      </c>
      <c r="C127" s="1" t="s">
        <v>35</v>
      </c>
      <c r="D127" s="2" t="s">
        <v>165</v>
      </c>
      <c r="E127" s="3" t="s">
        <v>473</v>
      </c>
      <c r="F127" s="3" t="s">
        <v>474</v>
      </c>
      <c r="G127" s="2" t="s">
        <v>165</v>
      </c>
      <c r="H127" s="1" t="s">
        <v>168</v>
      </c>
      <c r="I127" s="1" t="s">
        <v>169</v>
      </c>
      <c r="J127" s="2" t="s">
        <v>41</v>
      </c>
      <c r="K127" s="2">
        <v>19</v>
      </c>
      <c r="L127" s="2" t="s">
        <v>42</v>
      </c>
      <c r="M127" s="1">
        <v>0</v>
      </c>
      <c r="N127" s="1" t="s">
        <v>165</v>
      </c>
      <c r="O127" s="1" t="s">
        <v>168</v>
      </c>
      <c r="P127" s="1" t="s">
        <v>169</v>
      </c>
      <c r="Q127" s="2" t="s">
        <v>41</v>
      </c>
      <c r="R127" s="2">
        <v>19</v>
      </c>
      <c r="S127" s="2" t="s">
        <v>42</v>
      </c>
      <c r="T127" s="1">
        <v>0</v>
      </c>
      <c r="U127" s="1" t="s">
        <v>42</v>
      </c>
      <c r="V127" s="1">
        <v>0</v>
      </c>
      <c r="W127" s="11" t="s">
        <v>42</v>
      </c>
      <c r="X127" s="1" t="s">
        <v>43</v>
      </c>
      <c r="Y127" s="1">
        <v>0</v>
      </c>
      <c r="AB127" s="11">
        <f t="shared" si="6"/>
        <v>0</v>
      </c>
      <c r="AC127" s="11">
        <f t="shared" si="7"/>
        <v>0</v>
      </c>
      <c r="AD127" s="17">
        <v>0</v>
      </c>
      <c r="AE127" s="18">
        <f t="shared" si="8"/>
        <v>0</v>
      </c>
      <c r="AF127" s="11" t="str">
        <f t="shared" si="9"/>
        <v>Low</v>
      </c>
      <c r="AG127" s="14"/>
      <c r="AI127" s="22" t="str">
        <f t="shared" si="10"/>
        <v>Release</v>
      </c>
      <c r="AJ127" s="23"/>
    </row>
    <row r="128" spans="1:37" ht="72" hidden="1">
      <c r="A128" s="1" t="s">
        <v>164</v>
      </c>
      <c r="B128" s="1" t="s">
        <v>34</v>
      </c>
      <c r="C128" s="1" t="s">
        <v>35</v>
      </c>
      <c r="D128" s="14" t="s">
        <v>165</v>
      </c>
      <c r="E128" s="3" t="s">
        <v>475</v>
      </c>
      <c r="F128" s="3" t="s">
        <v>476</v>
      </c>
      <c r="G128" s="2" t="s">
        <v>165</v>
      </c>
      <c r="H128" s="1" t="s">
        <v>182</v>
      </c>
      <c r="I128" s="1" t="s">
        <v>183</v>
      </c>
      <c r="J128" s="2" t="s">
        <v>57</v>
      </c>
      <c r="K128" s="2">
        <v>7</v>
      </c>
      <c r="L128" s="2" t="s">
        <v>43</v>
      </c>
      <c r="M128" s="1">
        <v>40</v>
      </c>
      <c r="N128" s="1" t="s">
        <v>165</v>
      </c>
      <c r="O128" s="1" t="s">
        <v>477</v>
      </c>
      <c r="P128" s="1" t="s">
        <v>478</v>
      </c>
      <c r="Q128" s="2" t="s">
        <v>41</v>
      </c>
      <c r="R128" s="2">
        <v>19</v>
      </c>
      <c r="S128" s="2" t="s">
        <v>42</v>
      </c>
      <c r="T128" s="1">
        <v>0</v>
      </c>
      <c r="U128" s="1" t="s">
        <v>43</v>
      </c>
      <c r="V128" s="1">
        <v>40</v>
      </c>
      <c r="W128" s="11" t="s">
        <v>43</v>
      </c>
      <c r="X128" s="1" t="s">
        <v>42</v>
      </c>
      <c r="Y128" s="1">
        <v>2</v>
      </c>
      <c r="Z128" s="1" t="s">
        <v>101</v>
      </c>
      <c r="AA128" s="3" t="s">
        <v>479</v>
      </c>
      <c r="AB128" s="11">
        <f t="shared" si="6"/>
        <v>12</v>
      </c>
      <c r="AC128" s="11">
        <f t="shared" si="7"/>
        <v>50</v>
      </c>
      <c r="AD128" s="17">
        <v>0.83</v>
      </c>
      <c r="AE128" s="18">
        <f t="shared" si="8"/>
        <v>40</v>
      </c>
      <c r="AF128" s="11" t="str">
        <f t="shared" si="9"/>
        <v>Medium</v>
      </c>
      <c r="AG128" s="14" t="s">
        <v>480</v>
      </c>
      <c r="AH128" s="23" t="s">
        <v>703</v>
      </c>
      <c r="AI128" s="22" t="str">
        <f t="shared" si="10"/>
        <v>Investigate</v>
      </c>
      <c r="AJ128" s="23" t="s">
        <v>61</v>
      </c>
      <c r="AK128" s="3" t="s">
        <v>481</v>
      </c>
    </row>
    <row r="129" spans="1:37" ht="28.8" hidden="1">
      <c r="A129" s="1" t="s">
        <v>164</v>
      </c>
      <c r="B129" s="1" t="s">
        <v>34</v>
      </c>
      <c r="C129" s="1" t="s">
        <v>52</v>
      </c>
      <c r="D129" s="2" t="s">
        <v>165</v>
      </c>
      <c r="E129" s="3" t="s">
        <v>482</v>
      </c>
      <c r="F129" s="3" t="s">
        <v>483</v>
      </c>
      <c r="G129" s="2" t="s">
        <v>165</v>
      </c>
      <c r="H129" s="1" t="s">
        <v>176</v>
      </c>
      <c r="I129" s="1" t="s">
        <v>177</v>
      </c>
      <c r="J129" s="2" t="s">
        <v>41</v>
      </c>
      <c r="K129" s="2">
        <v>20</v>
      </c>
      <c r="L129" s="2" t="s">
        <v>42</v>
      </c>
      <c r="M129" s="1">
        <v>0</v>
      </c>
      <c r="N129" s="1" t="s">
        <v>165</v>
      </c>
      <c r="O129" s="1" t="s">
        <v>176</v>
      </c>
      <c r="P129" s="1" t="s">
        <v>177</v>
      </c>
      <c r="Q129" s="2" t="s">
        <v>41</v>
      </c>
      <c r="R129" s="2">
        <v>20</v>
      </c>
      <c r="S129" s="2" t="s">
        <v>42</v>
      </c>
      <c r="T129" s="1">
        <v>0</v>
      </c>
      <c r="U129" s="1" t="s">
        <v>42</v>
      </c>
      <c r="V129" s="1">
        <v>0</v>
      </c>
      <c r="W129" s="11" t="s">
        <v>42</v>
      </c>
      <c r="X129" s="1" t="s">
        <v>43</v>
      </c>
      <c r="Y129" s="1">
        <v>0</v>
      </c>
      <c r="AB129" s="11">
        <f t="shared" si="6"/>
        <v>0</v>
      </c>
      <c r="AC129" s="11">
        <f t="shared" si="7"/>
        <v>0</v>
      </c>
      <c r="AD129" s="17">
        <v>0</v>
      </c>
      <c r="AE129" s="18">
        <f t="shared" si="8"/>
        <v>0</v>
      </c>
      <c r="AF129" s="11" t="str">
        <f t="shared" si="9"/>
        <v>Low</v>
      </c>
      <c r="AG129" s="14"/>
      <c r="AI129" s="22" t="str">
        <f t="shared" si="10"/>
        <v>Release</v>
      </c>
      <c r="AJ129" s="23"/>
    </row>
    <row r="130" spans="1:37" ht="28.8" hidden="1">
      <c r="A130" s="1" t="s">
        <v>164</v>
      </c>
      <c r="B130" s="1" t="s">
        <v>34</v>
      </c>
      <c r="C130" s="1" t="s">
        <v>35</v>
      </c>
      <c r="D130" s="2" t="s">
        <v>165</v>
      </c>
      <c r="E130" s="3" t="s">
        <v>484</v>
      </c>
      <c r="F130" s="3" t="s">
        <v>485</v>
      </c>
      <c r="G130" s="2" t="s">
        <v>165</v>
      </c>
      <c r="H130" s="1" t="s">
        <v>172</v>
      </c>
      <c r="I130" s="1" t="s">
        <v>173</v>
      </c>
      <c r="J130" s="2" t="s">
        <v>41</v>
      </c>
      <c r="K130" s="2">
        <v>19</v>
      </c>
      <c r="L130" s="2" t="s">
        <v>42</v>
      </c>
      <c r="M130" s="1">
        <v>0</v>
      </c>
      <c r="N130" s="1" t="s">
        <v>165</v>
      </c>
      <c r="O130" s="1" t="s">
        <v>172</v>
      </c>
      <c r="P130" s="1" t="s">
        <v>173</v>
      </c>
      <c r="Q130" s="2" t="s">
        <v>41</v>
      </c>
      <c r="R130" s="2">
        <v>19</v>
      </c>
      <c r="S130" s="2" t="s">
        <v>42</v>
      </c>
      <c r="T130" s="1">
        <v>0</v>
      </c>
      <c r="U130" s="1" t="s">
        <v>42</v>
      </c>
      <c r="V130" s="1">
        <v>0</v>
      </c>
      <c r="W130" s="11" t="s">
        <v>42</v>
      </c>
      <c r="X130" s="1" t="s">
        <v>43</v>
      </c>
      <c r="Y130" s="1">
        <v>0</v>
      </c>
      <c r="AB130" s="11">
        <f t="shared" si="6"/>
        <v>0</v>
      </c>
      <c r="AC130" s="11">
        <f t="shared" si="7"/>
        <v>0</v>
      </c>
      <c r="AD130" s="17">
        <v>0</v>
      </c>
      <c r="AE130" s="18">
        <f t="shared" si="8"/>
        <v>0</v>
      </c>
      <c r="AF130" s="11" t="str">
        <f t="shared" si="9"/>
        <v>Low</v>
      </c>
      <c r="AG130" s="14"/>
      <c r="AI130" s="22" t="str">
        <f t="shared" si="10"/>
        <v>Release</v>
      </c>
      <c r="AJ130" s="23"/>
    </row>
    <row r="131" spans="1:37" ht="28.8" hidden="1">
      <c r="A131" s="1" t="s">
        <v>164</v>
      </c>
      <c r="B131" s="1" t="s">
        <v>34</v>
      </c>
      <c r="C131" s="1" t="s">
        <v>52</v>
      </c>
      <c r="D131" s="2" t="s">
        <v>165</v>
      </c>
      <c r="E131" s="3" t="s">
        <v>486</v>
      </c>
      <c r="F131" s="3" t="s">
        <v>487</v>
      </c>
      <c r="G131" s="2" t="s">
        <v>165</v>
      </c>
      <c r="H131" s="1" t="s">
        <v>168</v>
      </c>
      <c r="I131" s="1" t="s">
        <v>169</v>
      </c>
      <c r="J131" s="2" t="s">
        <v>41</v>
      </c>
      <c r="K131" s="2">
        <v>20</v>
      </c>
      <c r="L131" s="2" t="s">
        <v>42</v>
      </c>
      <c r="M131" s="1">
        <v>0</v>
      </c>
      <c r="N131" s="1" t="s">
        <v>165</v>
      </c>
      <c r="O131" s="1" t="s">
        <v>168</v>
      </c>
      <c r="P131" s="1" t="s">
        <v>169</v>
      </c>
      <c r="Q131" s="2" t="s">
        <v>41</v>
      </c>
      <c r="R131" s="2">
        <v>20</v>
      </c>
      <c r="S131" s="2" t="s">
        <v>42</v>
      </c>
      <c r="T131" s="1">
        <v>0</v>
      </c>
      <c r="U131" s="1" t="s">
        <v>42</v>
      </c>
      <c r="V131" s="1">
        <v>0</v>
      </c>
      <c r="W131" s="11" t="s">
        <v>42</v>
      </c>
      <c r="X131" s="1" t="s">
        <v>43</v>
      </c>
      <c r="Y131" s="1">
        <v>0</v>
      </c>
      <c r="AB131" s="11">
        <f t="shared" ref="AB131:AB192" si="11">R131-K131</f>
        <v>0</v>
      </c>
      <c r="AC131" s="11">
        <f t="shared" ref="AC131:AC192" si="12">IF(Z131="",M131*T131*V131,IF(Z131="VAT Misclassification",M131,IF(Z131="VAT Product Description Vague",T131,IF(Z131="Supplier Risk",V131,IF(Z131="VAT Misclassification, Supplier Risk",MAX(M131,V131)+10,IF(Z131="VAT Product Description Vague, Supplier Risk",MAX(T131,V131)+10,9999))))))</f>
        <v>0</v>
      </c>
      <c r="AD131" s="17">
        <v>0</v>
      </c>
      <c r="AE131" s="18">
        <f t="shared" ref="AE131:AE192" si="13">IF(Z131="",M131*T131*V131,IF(Z131="VAT Misclassification",IF(AB131&gt;0,M131,M131*0),IF(Z131="VAT Product Description Vague",T131,IF(Z131="Supplier Risk",V131,IF(Z131="VAT Misclassification, Supplier Risk",IF(V131&gt;70,V131,IF(AB131&gt;0,M131,M131*0)),IF(Z131="VAT Product Description Vague, Supplier Risk",MAX(T131*100%+V131*100%),9999))))))</f>
        <v>0</v>
      </c>
      <c r="AF131" s="11" t="str">
        <f t="shared" ref="AF131:AF192" si="14">IF(AE131&lt;30,"Low",IF(AE131&lt;80,"Medium","High"))</f>
        <v>Low</v>
      </c>
      <c r="AG131" s="14"/>
      <c r="AI131" s="22" t="str">
        <f t="shared" ref="AI131:AI192" si="15">IF(AE131&lt;30,"Release",IF(AE131&lt;80,"Investigate","Retain"))</f>
        <v>Release</v>
      </c>
      <c r="AJ131" s="23"/>
    </row>
    <row r="132" spans="1:37" ht="43.2" hidden="1">
      <c r="A132" s="1" t="s">
        <v>164</v>
      </c>
      <c r="B132" s="1" t="s">
        <v>34</v>
      </c>
      <c r="C132" s="1" t="s">
        <v>52</v>
      </c>
      <c r="D132" s="2" t="s">
        <v>165</v>
      </c>
      <c r="E132" s="3" t="s">
        <v>488</v>
      </c>
      <c r="F132" s="3" t="s">
        <v>489</v>
      </c>
      <c r="G132" s="2" t="s">
        <v>165</v>
      </c>
      <c r="H132" s="1" t="s">
        <v>172</v>
      </c>
      <c r="I132" s="1" t="s">
        <v>173</v>
      </c>
      <c r="J132" s="2" t="s">
        <v>41</v>
      </c>
      <c r="K132" s="2">
        <v>20</v>
      </c>
      <c r="L132" s="2" t="s">
        <v>42</v>
      </c>
      <c r="M132" s="9">
        <v>15</v>
      </c>
      <c r="N132" s="1" t="s">
        <v>165</v>
      </c>
      <c r="O132" s="1" t="s">
        <v>172</v>
      </c>
      <c r="P132" s="1" t="s">
        <v>173</v>
      </c>
      <c r="Q132" s="2" t="s">
        <v>41</v>
      </c>
      <c r="R132" s="2">
        <v>20</v>
      </c>
      <c r="S132" s="2" t="s">
        <v>43</v>
      </c>
      <c r="T132" s="9">
        <v>60</v>
      </c>
      <c r="U132" s="1" t="s">
        <v>42</v>
      </c>
      <c r="V132" s="1">
        <v>0</v>
      </c>
      <c r="W132" s="11" t="s">
        <v>42</v>
      </c>
      <c r="X132" s="1" t="s">
        <v>43</v>
      </c>
      <c r="Y132" s="1">
        <v>1</v>
      </c>
      <c r="Z132" s="1" t="s">
        <v>71</v>
      </c>
      <c r="AA132" s="3" t="s">
        <v>490</v>
      </c>
      <c r="AB132" s="11">
        <f t="shared" si="11"/>
        <v>0</v>
      </c>
      <c r="AC132" s="11">
        <f t="shared" si="12"/>
        <v>60</v>
      </c>
      <c r="AD132" s="17">
        <v>0.44</v>
      </c>
      <c r="AE132" s="18">
        <f t="shared" si="13"/>
        <v>60</v>
      </c>
      <c r="AF132" s="11" t="str">
        <f t="shared" si="14"/>
        <v>Medium</v>
      </c>
      <c r="AG132" s="14" t="s">
        <v>491</v>
      </c>
      <c r="AH132" s="22" t="s">
        <v>696</v>
      </c>
      <c r="AI132" s="22" t="str">
        <f t="shared" si="15"/>
        <v>Investigate</v>
      </c>
      <c r="AJ132" s="22" t="s">
        <v>702</v>
      </c>
      <c r="AK132" s="3" t="s">
        <v>492</v>
      </c>
    </row>
    <row r="133" spans="1:37" ht="28.8" hidden="1">
      <c r="A133" s="1" t="s">
        <v>193</v>
      </c>
      <c r="B133" s="1" t="s">
        <v>194</v>
      </c>
      <c r="C133" s="1" t="s">
        <v>195</v>
      </c>
      <c r="D133" s="2" t="s">
        <v>36</v>
      </c>
      <c r="E133" s="3" t="s">
        <v>493</v>
      </c>
      <c r="F133" s="3" t="s">
        <v>494</v>
      </c>
      <c r="G133" s="2" t="s">
        <v>36</v>
      </c>
      <c r="H133" s="1" t="s">
        <v>198</v>
      </c>
      <c r="I133" s="1" t="s">
        <v>199</v>
      </c>
      <c r="J133" s="2" t="s">
        <v>41</v>
      </c>
      <c r="K133" s="2">
        <v>21</v>
      </c>
      <c r="L133" s="2" t="s">
        <v>42</v>
      </c>
      <c r="M133" s="1">
        <v>0</v>
      </c>
      <c r="N133" s="1" t="s">
        <v>36</v>
      </c>
      <c r="O133" s="1" t="s">
        <v>198</v>
      </c>
      <c r="P133" s="1" t="s">
        <v>199</v>
      </c>
      <c r="Q133" s="2" t="s">
        <v>41</v>
      </c>
      <c r="R133" s="2">
        <v>21</v>
      </c>
      <c r="S133" s="2" t="s">
        <v>42</v>
      </c>
      <c r="T133" s="1">
        <v>0</v>
      </c>
      <c r="U133" s="1" t="s">
        <v>42</v>
      </c>
      <c r="V133" s="1">
        <v>0</v>
      </c>
      <c r="W133" s="11" t="s">
        <v>42</v>
      </c>
      <c r="X133" s="1" t="s">
        <v>43</v>
      </c>
      <c r="Y133" s="1">
        <v>0</v>
      </c>
      <c r="AB133" s="11">
        <f t="shared" si="11"/>
        <v>0</v>
      </c>
      <c r="AC133" s="11">
        <f t="shared" si="12"/>
        <v>0</v>
      </c>
      <c r="AD133" s="17">
        <v>0</v>
      </c>
      <c r="AE133" s="18">
        <f t="shared" si="13"/>
        <v>0</v>
      </c>
      <c r="AF133" s="11" t="str">
        <f t="shared" si="14"/>
        <v>Low</v>
      </c>
      <c r="AG133" s="14"/>
      <c r="AI133" s="22" t="str">
        <f t="shared" si="15"/>
        <v>Release</v>
      </c>
      <c r="AJ133" s="23"/>
    </row>
    <row r="134" spans="1:37" hidden="1">
      <c r="A134" s="1" t="s">
        <v>193</v>
      </c>
      <c r="B134" s="1" t="s">
        <v>194</v>
      </c>
      <c r="C134" s="1" t="s">
        <v>200</v>
      </c>
      <c r="D134" s="2" t="s">
        <v>36</v>
      </c>
      <c r="E134" s="3" t="s">
        <v>495</v>
      </c>
      <c r="F134" s="3" t="s">
        <v>496</v>
      </c>
      <c r="G134" s="2" t="s">
        <v>36</v>
      </c>
      <c r="H134" s="1" t="s">
        <v>203</v>
      </c>
      <c r="I134" s="1" t="s">
        <v>204</v>
      </c>
      <c r="J134" s="2" t="s">
        <v>41</v>
      </c>
      <c r="K134" s="2">
        <v>23</v>
      </c>
      <c r="L134" s="2" t="s">
        <v>42</v>
      </c>
      <c r="M134" s="1">
        <v>0</v>
      </c>
      <c r="N134" s="1" t="s">
        <v>36</v>
      </c>
      <c r="O134" s="1" t="s">
        <v>203</v>
      </c>
      <c r="P134" s="1" t="s">
        <v>204</v>
      </c>
      <c r="Q134" s="2" t="s">
        <v>41</v>
      </c>
      <c r="R134" s="2">
        <v>23</v>
      </c>
      <c r="S134" s="2" t="s">
        <v>42</v>
      </c>
      <c r="T134" s="1">
        <v>0</v>
      </c>
      <c r="U134" s="1" t="s">
        <v>42</v>
      </c>
      <c r="V134" s="1">
        <v>0</v>
      </c>
      <c r="W134" s="11" t="s">
        <v>42</v>
      </c>
      <c r="X134" s="1" t="s">
        <v>43</v>
      </c>
      <c r="Y134" s="1">
        <v>0</v>
      </c>
      <c r="AB134" s="11">
        <f t="shared" si="11"/>
        <v>0</v>
      </c>
      <c r="AC134" s="11">
        <f t="shared" si="12"/>
        <v>0</v>
      </c>
      <c r="AD134" s="17">
        <v>0</v>
      </c>
      <c r="AE134" s="18">
        <f t="shared" si="13"/>
        <v>0</v>
      </c>
      <c r="AF134" s="11" t="str">
        <f t="shared" si="14"/>
        <v>Low</v>
      </c>
      <c r="AG134" s="14"/>
      <c r="AI134" s="22" t="str">
        <f t="shared" si="15"/>
        <v>Release</v>
      </c>
      <c r="AJ134" s="23"/>
    </row>
    <row r="135" spans="1:37" ht="28.8" hidden="1">
      <c r="A135" s="1" t="s">
        <v>193</v>
      </c>
      <c r="B135" s="1" t="s">
        <v>194</v>
      </c>
      <c r="C135" s="1" t="s">
        <v>195</v>
      </c>
      <c r="D135" s="2" t="s">
        <v>36</v>
      </c>
      <c r="E135" s="3" t="s">
        <v>497</v>
      </c>
      <c r="F135" s="3" t="s">
        <v>498</v>
      </c>
      <c r="G135" s="2" t="s">
        <v>36</v>
      </c>
      <c r="H135" s="1" t="s">
        <v>207</v>
      </c>
      <c r="I135" s="1" t="s">
        <v>208</v>
      </c>
      <c r="J135" s="2" t="s">
        <v>41</v>
      </c>
      <c r="K135" s="2">
        <v>21</v>
      </c>
      <c r="L135" s="2" t="s">
        <v>42</v>
      </c>
      <c r="M135" s="1">
        <v>0</v>
      </c>
      <c r="N135" s="1" t="s">
        <v>36</v>
      </c>
      <c r="O135" s="1" t="s">
        <v>207</v>
      </c>
      <c r="P135" s="1" t="s">
        <v>208</v>
      </c>
      <c r="Q135" s="2" t="s">
        <v>41</v>
      </c>
      <c r="R135" s="2">
        <v>21</v>
      </c>
      <c r="S135" s="2" t="s">
        <v>42</v>
      </c>
      <c r="T135" s="1">
        <v>0</v>
      </c>
      <c r="U135" s="1" t="s">
        <v>42</v>
      </c>
      <c r="V135" s="1">
        <v>0</v>
      </c>
      <c r="W135" s="11" t="s">
        <v>42</v>
      </c>
      <c r="X135" s="1" t="s">
        <v>43</v>
      </c>
      <c r="Y135" s="1">
        <v>0</v>
      </c>
      <c r="AB135" s="11">
        <f t="shared" si="11"/>
        <v>0</v>
      </c>
      <c r="AC135" s="11">
        <f t="shared" si="12"/>
        <v>0</v>
      </c>
      <c r="AD135" s="17">
        <v>0</v>
      </c>
      <c r="AE135" s="18">
        <f t="shared" si="13"/>
        <v>0</v>
      </c>
      <c r="AF135" s="11" t="str">
        <f t="shared" si="14"/>
        <v>Low</v>
      </c>
      <c r="AG135" s="14"/>
      <c r="AI135" s="22" t="str">
        <f t="shared" si="15"/>
        <v>Release</v>
      </c>
      <c r="AJ135" s="23"/>
    </row>
    <row r="136" spans="1:37" ht="57.6" hidden="1">
      <c r="A136" s="1" t="s">
        <v>193</v>
      </c>
      <c r="B136" s="1" t="s">
        <v>194</v>
      </c>
      <c r="C136" s="1" t="s">
        <v>195</v>
      </c>
      <c r="D136" s="2" t="s">
        <v>36</v>
      </c>
      <c r="E136" s="3" t="s">
        <v>499</v>
      </c>
      <c r="F136" s="3" t="s">
        <v>500</v>
      </c>
      <c r="G136" s="2" t="s">
        <v>36</v>
      </c>
      <c r="H136" s="1" t="s">
        <v>501</v>
      </c>
      <c r="I136" s="1" t="s">
        <v>502</v>
      </c>
      <c r="J136" s="2" t="s">
        <v>57</v>
      </c>
      <c r="K136" s="2">
        <v>9</v>
      </c>
      <c r="L136" s="2" t="s">
        <v>43</v>
      </c>
      <c r="M136" s="1">
        <v>75</v>
      </c>
      <c r="N136" s="1" t="s">
        <v>36</v>
      </c>
      <c r="O136" s="1" t="s">
        <v>207</v>
      </c>
      <c r="P136" s="1" t="s">
        <v>208</v>
      </c>
      <c r="Q136" s="2" t="s">
        <v>41</v>
      </c>
      <c r="R136" s="2">
        <v>21</v>
      </c>
      <c r="S136" s="2" t="s">
        <v>42</v>
      </c>
      <c r="T136" s="2">
        <v>0</v>
      </c>
      <c r="U136" s="1" t="s">
        <v>42</v>
      </c>
      <c r="V136" s="1">
        <v>0</v>
      </c>
      <c r="W136" s="11" t="s">
        <v>42</v>
      </c>
      <c r="X136" s="1" t="s">
        <v>42</v>
      </c>
      <c r="Y136" s="1">
        <v>1</v>
      </c>
      <c r="Z136" s="1" t="s">
        <v>58</v>
      </c>
      <c r="AA136" s="3" t="s">
        <v>503</v>
      </c>
      <c r="AB136" s="11">
        <f t="shared" si="11"/>
        <v>12</v>
      </c>
      <c r="AC136" s="11">
        <f t="shared" si="12"/>
        <v>75</v>
      </c>
      <c r="AD136" s="17">
        <v>0.75</v>
      </c>
      <c r="AE136" s="18">
        <f t="shared" si="13"/>
        <v>75</v>
      </c>
      <c r="AF136" s="11" t="str">
        <f t="shared" si="14"/>
        <v>Medium</v>
      </c>
      <c r="AG136" s="14" t="s">
        <v>504</v>
      </c>
      <c r="AH136" s="23" t="s">
        <v>703</v>
      </c>
      <c r="AI136" s="22" t="str">
        <f t="shared" si="15"/>
        <v>Investigate</v>
      </c>
      <c r="AJ136" s="22" t="s">
        <v>61</v>
      </c>
      <c r="AK136" s="3" t="s">
        <v>505</v>
      </c>
    </row>
    <row r="137" spans="1:37" ht="28.8" hidden="1">
      <c r="A137" s="1" t="s">
        <v>193</v>
      </c>
      <c r="B137" s="1" t="s">
        <v>194</v>
      </c>
      <c r="C137" s="1" t="s">
        <v>200</v>
      </c>
      <c r="D137" s="2" t="s">
        <v>36</v>
      </c>
      <c r="E137" s="3" t="s">
        <v>506</v>
      </c>
      <c r="F137" s="3" t="s">
        <v>507</v>
      </c>
      <c r="G137" s="2" t="s">
        <v>36</v>
      </c>
      <c r="H137" s="1" t="s">
        <v>198</v>
      </c>
      <c r="I137" s="1" t="s">
        <v>199</v>
      </c>
      <c r="J137" s="2" t="s">
        <v>41</v>
      </c>
      <c r="K137" s="2">
        <v>23</v>
      </c>
      <c r="L137" s="2" t="s">
        <v>42</v>
      </c>
      <c r="M137" s="1">
        <v>0</v>
      </c>
      <c r="N137" s="1" t="s">
        <v>36</v>
      </c>
      <c r="O137" s="1" t="s">
        <v>198</v>
      </c>
      <c r="P137" s="1" t="s">
        <v>199</v>
      </c>
      <c r="Q137" s="2" t="s">
        <v>41</v>
      </c>
      <c r="R137" s="2">
        <v>23</v>
      </c>
      <c r="S137" s="2" t="s">
        <v>42</v>
      </c>
      <c r="T137" s="1">
        <v>0</v>
      </c>
      <c r="U137" s="1" t="s">
        <v>42</v>
      </c>
      <c r="V137" s="1">
        <v>0</v>
      </c>
      <c r="W137" s="11" t="s">
        <v>42</v>
      </c>
      <c r="X137" s="1" t="s">
        <v>43</v>
      </c>
      <c r="Y137" s="1">
        <v>0</v>
      </c>
      <c r="AB137" s="11">
        <f t="shared" si="11"/>
        <v>0</v>
      </c>
      <c r="AC137" s="11">
        <f t="shared" si="12"/>
        <v>0</v>
      </c>
      <c r="AD137" s="17">
        <v>0</v>
      </c>
      <c r="AE137" s="18">
        <f t="shared" si="13"/>
        <v>0</v>
      </c>
      <c r="AF137" s="11" t="str">
        <f t="shared" si="14"/>
        <v>Low</v>
      </c>
      <c r="AG137" s="14"/>
      <c r="AI137" s="22" t="str">
        <f t="shared" si="15"/>
        <v>Release</v>
      </c>
      <c r="AJ137" s="23"/>
    </row>
    <row r="138" spans="1:37" ht="28.8" hidden="1">
      <c r="A138" s="1" t="s">
        <v>193</v>
      </c>
      <c r="B138" s="1" t="s">
        <v>194</v>
      </c>
      <c r="C138" s="1" t="s">
        <v>195</v>
      </c>
      <c r="D138" s="2" t="s">
        <v>36</v>
      </c>
      <c r="E138" s="3" t="s">
        <v>508</v>
      </c>
      <c r="F138" s="3" t="s">
        <v>509</v>
      </c>
      <c r="G138" s="2" t="s">
        <v>36</v>
      </c>
      <c r="H138" s="1" t="s">
        <v>203</v>
      </c>
      <c r="I138" s="1" t="s">
        <v>204</v>
      </c>
      <c r="J138" s="2" t="s">
        <v>41</v>
      </c>
      <c r="K138" s="2">
        <v>21</v>
      </c>
      <c r="L138" s="2" t="s">
        <v>42</v>
      </c>
      <c r="M138" s="1">
        <v>0</v>
      </c>
      <c r="N138" s="1" t="s">
        <v>36</v>
      </c>
      <c r="O138" s="1" t="s">
        <v>203</v>
      </c>
      <c r="P138" s="1" t="s">
        <v>204</v>
      </c>
      <c r="Q138" s="2" t="s">
        <v>41</v>
      </c>
      <c r="R138" s="2">
        <v>21</v>
      </c>
      <c r="S138" s="2" t="s">
        <v>42</v>
      </c>
      <c r="T138" s="1">
        <v>0</v>
      </c>
      <c r="U138" s="1" t="s">
        <v>42</v>
      </c>
      <c r="V138" s="1">
        <v>0</v>
      </c>
      <c r="W138" s="11" t="s">
        <v>42</v>
      </c>
      <c r="X138" s="1" t="s">
        <v>43</v>
      </c>
      <c r="Y138" s="1">
        <v>0</v>
      </c>
      <c r="AB138" s="11">
        <f t="shared" si="11"/>
        <v>0</v>
      </c>
      <c r="AC138" s="11">
        <f t="shared" si="12"/>
        <v>0</v>
      </c>
      <c r="AD138" s="17">
        <v>0</v>
      </c>
      <c r="AE138" s="18">
        <f t="shared" si="13"/>
        <v>0</v>
      </c>
      <c r="AF138" s="11" t="str">
        <f t="shared" si="14"/>
        <v>Low</v>
      </c>
      <c r="AG138" s="14"/>
      <c r="AI138" s="22" t="str">
        <f t="shared" si="15"/>
        <v>Release</v>
      </c>
      <c r="AJ138" s="23"/>
    </row>
    <row r="139" spans="1:37" ht="28.8" hidden="1">
      <c r="A139" s="1" t="s">
        <v>193</v>
      </c>
      <c r="B139" s="1" t="s">
        <v>194</v>
      </c>
      <c r="C139" s="1" t="s">
        <v>200</v>
      </c>
      <c r="D139" s="2" t="s">
        <v>36</v>
      </c>
      <c r="E139" s="3" t="s">
        <v>510</v>
      </c>
      <c r="F139" s="3" t="s">
        <v>511</v>
      </c>
      <c r="G139" s="2" t="s">
        <v>36</v>
      </c>
      <c r="H139" s="1" t="s">
        <v>207</v>
      </c>
      <c r="I139" s="1" t="s">
        <v>208</v>
      </c>
      <c r="J139" s="2" t="s">
        <v>41</v>
      </c>
      <c r="K139" s="2">
        <v>23</v>
      </c>
      <c r="L139" s="2" t="s">
        <v>42</v>
      </c>
      <c r="M139" s="1">
        <v>0</v>
      </c>
      <c r="N139" s="1" t="s">
        <v>36</v>
      </c>
      <c r="O139" s="1" t="s">
        <v>207</v>
      </c>
      <c r="P139" s="1" t="s">
        <v>208</v>
      </c>
      <c r="Q139" s="2" t="s">
        <v>41</v>
      </c>
      <c r="R139" s="2">
        <v>23</v>
      </c>
      <c r="S139" s="2" t="s">
        <v>42</v>
      </c>
      <c r="T139" s="1">
        <v>0</v>
      </c>
      <c r="U139" s="1" t="s">
        <v>42</v>
      </c>
      <c r="V139" s="1">
        <v>0</v>
      </c>
      <c r="W139" s="11" t="s">
        <v>42</v>
      </c>
      <c r="X139" s="1" t="s">
        <v>43</v>
      </c>
      <c r="Y139" s="1">
        <v>0</v>
      </c>
      <c r="AB139" s="11">
        <f t="shared" si="11"/>
        <v>0</v>
      </c>
      <c r="AC139" s="11">
        <f t="shared" si="12"/>
        <v>0</v>
      </c>
      <c r="AD139" s="17">
        <v>0</v>
      </c>
      <c r="AE139" s="18">
        <f t="shared" si="13"/>
        <v>0</v>
      </c>
      <c r="AF139" s="11" t="str">
        <f t="shared" si="14"/>
        <v>Low</v>
      </c>
      <c r="AG139" s="14"/>
      <c r="AI139" s="22" t="str">
        <f t="shared" si="15"/>
        <v>Release</v>
      </c>
      <c r="AJ139" s="23"/>
    </row>
    <row r="140" spans="1:37" ht="43.2" hidden="1">
      <c r="A140" s="1" t="s">
        <v>193</v>
      </c>
      <c r="B140" s="1" t="s">
        <v>194</v>
      </c>
      <c r="C140" s="1" t="s">
        <v>195</v>
      </c>
      <c r="D140" s="2" t="s">
        <v>36</v>
      </c>
      <c r="E140" s="3" t="s">
        <v>512</v>
      </c>
      <c r="F140" s="3" t="s">
        <v>513</v>
      </c>
      <c r="G140" s="2" t="s">
        <v>36</v>
      </c>
      <c r="H140" s="1" t="s">
        <v>203</v>
      </c>
      <c r="I140" s="1" t="s">
        <v>204</v>
      </c>
      <c r="J140" s="2" t="s">
        <v>41</v>
      </c>
      <c r="K140" s="2">
        <v>21</v>
      </c>
      <c r="L140" s="2" t="s">
        <v>42</v>
      </c>
      <c r="M140" s="9">
        <v>15</v>
      </c>
      <c r="N140" s="1" t="s">
        <v>36</v>
      </c>
      <c r="O140" s="1" t="s">
        <v>203</v>
      </c>
      <c r="P140" s="1" t="s">
        <v>204</v>
      </c>
      <c r="Q140" s="2" t="s">
        <v>41</v>
      </c>
      <c r="R140" s="2">
        <v>21</v>
      </c>
      <c r="S140" s="2" t="s">
        <v>43</v>
      </c>
      <c r="T140" s="9">
        <v>60</v>
      </c>
      <c r="U140" s="1" t="s">
        <v>42</v>
      </c>
      <c r="V140" s="1">
        <v>0</v>
      </c>
      <c r="W140" s="11" t="s">
        <v>42</v>
      </c>
      <c r="X140" s="1" t="s">
        <v>43</v>
      </c>
      <c r="Y140" s="1">
        <v>1</v>
      </c>
      <c r="Z140" s="1" t="s">
        <v>71</v>
      </c>
      <c r="AA140" s="3" t="s">
        <v>514</v>
      </c>
      <c r="AB140" s="11">
        <f t="shared" si="11"/>
        <v>0</v>
      </c>
      <c r="AC140" s="11">
        <f t="shared" si="12"/>
        <v>60</v>
      </c>
      <c r="AD140" s="17">
        <v>0.44</v>
      </c>
      <c r="AE140" s="18">
        <f t="shared" si="13"/>
        <v>60</v>
      </c>
      <c r="AF140" s="11" t="str">
        <f t="shared" si="14"/>
        <v>Medium</v>
      </c>
      <c r="AG140" s="14" t="s">
        <v>515</v>
      </c>
      <c r="AH140" s="22" t="s">
        <v>696</v>
      </c>
      <c r="AI140" s="22" t="str">
        <f t="shared" si="15"/>
        <v>Investigate</v>
      </c>
      <c r="AJ140" s="22" t="s">
        <v>702</v>
      </c>
      <c r="AK140" s="3" t="s">
        <v>516</v>
      </c>
    </row>
    <row r="141" spans="1:37" ht="28.8" hidden="1">
      <c r="A141" s="1" t="s">
        <v>193</v>
      </c>
      <c r="B141" s="1" t="s">
        <v>194</v>
      </c>
      <c r="C141" s="1" t="s">
        <v>200</v>
      </c>
      <c r="D141" s="2" t="s">
        <v>36</v>
      </c>
      <c r="E141" s="3" t="s">
        <v>517</v>
      </c>
      <c r="F141" s="3" t="s">
        <v>518</v>
      </c>
      <c r="G141" s="2" t="s">
        <v>36</v>
      </c>
      <c r="H141" s="1" t="s">
        <v>198</v>
      </c>
      <c r="I141" s="1" t="s">
        <v>199</v>
      </c>
      <c r="J141" s="2" t="s">
        <v>41</v>
      </c>
      <c r="K141" s="2">
        <v>23</v>
      </c>
      <c r="L141" s="2" t="s">
        <v>42</v>
      </c>
      <c r="M141" s="1">
        <v>0</v>
      </c>
      <c r="N141" s="1" t="s">
        <v>36</v>
      </c>
      <c r="O141" s="1" t="s">
        <v>198</v>
      </c>
      <c r="P141" s="1" t="s">
        <v>199</v>
      </c>
      <c r="Q141" s="2" t="s">
        <v>41</v>
      </c>
      <c r="R141" s="2">
        <v>23</v>
      </c>
      <c r="S141" s="2" t="s">
        <v>42</v>
      </c>
      <c r="T141" s="1">
        <v>0</v>
      </c>
      <c r="U141" s="1" t="s">
        <v>42</v>
      </c>
      <c r="V141" s="1">
        <v>0</v>
      </c>
      <c r="W141" s="11" t="s">
        <v>42</v>
      </c>
      <c r="X141" s="1" t="s">
        <v>43</v>
      </c>
      <c r="Y141" s="1">
        <v>0</v>
      </c>
      <c r="AB141" s="11">
        <f t="shared" si="11"/>
        <v>0</v>
      </c>
      <c r="AC141" s="11">
        <f t="shared" si="12"/>
        <v>0</v>
      </c>
      <c r="AD141" s="17">
        <v>0</v>
      </c>
      <c r="AE141" s="18">
        <f t="shared" si="13"/>
        <v>0</v>
      </c>
      <c r="AF141" s="11" t="str">
        <f t="shared" si="14"/>
        <v>Low</v>
      </c>
      <c r="AG141" s="14"/>
      <c r="AI141" s="22" t="str">
        <f t="shared" si="15"/>
        <v>Release</v>
      </c>
      <c r="AJ141" s="23"/>
    </row>
    <row r="142" spans="1:37" ht="28.8" hidden="1">
      <c r="A142" s="1" t="s">
        <v>193</v>
      </c>
      <c r="B142" s="1" t="s">
        <v>194</v>
      </c>
      <c r="C142" s="1" t="s">
        <v>195</v>
      </c>
      <c r="D142" s="2" t="s">
        <v>36</v>
      </c>
      <c r="E142" s="3" t="s">
        <v>519</v>
      </c>
      <c r="F142" s="3" t="s">
        <v>520</v>
      </c>
      <c r="G142" s="2" t="s">
        <v>36</v>
      </c>
      <c r="H142" s="1" t="s">
        <v>207</v>
      </c>
      <c r="I142" s="1" t="s">
        <v>208</v>
      </c>
      <c r="J142" s="2" t="s">
        <v>41</v>
      </c>
      <c r="K142" s="2">
        <v>21</v>
      </c>
      <c r="L142" s="2" t="s">
        <v>42</v>
      </c>
      <c r="M142" s="1">
        <v>0</v>
      </c>
      <c r="N142" s="1" t="s">
        <v>36</v>
      </c>
      <c r="O142" s="1" t="s">
        <v>207</v>
      </c>
      <c r="P142" s="1" t="s">
        <v>208</v>
      </c>
      <c r="Q142" s="2" t="s">
        <v>41</v>
      </c>
      <c r="R142" s="2">
        <v>21</v>
      </c>
      <c r="S142" s="2" t="s">
        <v>42</v>
      </c>
      <c r="T142" s="1">
        <v>0</v>
      </c>
      <c r="U142" s="1" t="s">
        <v>42</v>
      </c>
      <c r="V142" s="1">
        <v>0</v>
      </c>
      <c r="W142" s="11" t="s">
        <v>42</v>
      </c>
      <c r="X142" s="1" t="s">
        <v>43</v>
      </c>
      <c r="Y142" s="1">
        <v>0</v>
      </c>
      <c r="AB142" s="11">
        <f t="shared" si="11"/>
        <v>0</v>
      </c>
      <c r="AC142" s="11">
        <f t="shared" si="12"/>
        <v>0</v>
      </c>
      <c r="AD142" s="17">
        <v>0</v>
      </c>
      <c r="AE142" s="18">
        <f t="shared" si="13"/>
        <v>0</v>
      </c>
      <c r="AF142" s="11" t="str">
        <f t="shared" si="14"/>
        <v>Low</v>
      </c>
      <c r="AG142" s="14"/>
      <c r="AI142" s="22" t="str">
        <f t="shared" si="15"/>
        <v>Release</v>
      </c>
      <c r="AJ142" s="23"/>
    </row>
    <row r="143" spans="1:37" ht="28.8" hidden="1">
      <c r="A143" s="1" t="s">
        <v>193</v>
      </c>
      <c r="B143" s="1" t="s">
        <v>194</v>
      </c>
      <c r="C143" s="1" t="s">
        <v>200</v>
      </c>
      <c r="D143" s="2" t="s">
        <v>36</v>
      </c>
      <c r="E143" s="3" t="s">
        <v>521</v>
      </c>
      <c r="F143" s="3" t="s">
        <v>522</v>
      </c>
      <c r="G143" s="2" t="s">
        <v>36</v>
      </c>
      <c r="H143" s="1" t="s">
        <v>203</v>
      </c>
      <c r="I143" s="1" t="s">
        <v>204</v>
      </c>
      <c r="J143" s="2" t="s">
        <v>41</v>
      </c>
      <c r="K143" s="2">
        <v>23</v>
      </c>
      <c r="L143" s="2" t="s">
        <v>42</v>
      </c>
      <c r="M143" s="1">
        <v>0</v>
      </c>
      <c r="N143" s="1" t="s">
        <v>36</v>
      </c>
      <c r="O143" s="1" t="s">
        <v>203</v>
      </c>
      <c r="P143" s="1" t="s">
        <v>204</v>
      </c>
      <c r="Q143" s="2" t="s">
        <v>41</v>
      </c>
      <c r="R143" s="2">
        <v>23</v>
      </c>
      <c r="S143" s="2" t="s">
        <v>42</v>
      </c>
      <c r="T143" s="1">
        <v>0</v>
      </c>
      <c r="U143" s="1" t="s">
        <v>42</v>
      </c>
      <c r="V143" s="1">
        <v>0</v>
      </c>
      <c r="W143" s="11" t="s">
        <v>42</v>
      </c>
      <c r="X143" s="1" t="s">
        <v>43</v>
      </c>
      <c r="Y143" s="1">
        <v>0</v>
      </c>
      <c r="AB143" s="11">
        <f t="shared" si="11"/>
        <v>0</v>
      </c>
      <c r="AC143" s="11">
        <f t="shared" si="12"/>
        <v>0</v>
      </c>
      <c r="AD143" s="17">
        <v>0</v>
      </c>
      <c r="AE143" s="18">
        <f t="shared" si="13"/>
        <v>0</v>
      </c>
      <c r="AF143" s="11" t="str">
        <f t="shared" si="14"/>
        <v>Low</v>
      </c>
      <c r="AG143" s="14"/>
      <c r="AI143" s="22" t="str">
        <f t="shared" si="15"/>
        <v>Release</v>
      </c>
      <c r="AJ143" s="23"/>
    </row>
    <row r="144" spans="1:37" ht="57.6" hidden="1">
      <c r="A144" s="1" t="s">
        <v>193</v>
      </c>
      <c r="B144" s="1" t="s">
        <v>194</v>
      </c>
      <c r="C144" s="1" t="s">
        <v>200</v>
      </c>
      <c r="D144" s="2" t="s">
        <v>36</v>
      </c>
      <c r="E144" s="3" t="s">
        <v>523</v>
      </c>
      <c r="F144" s="3" t="s">
        <v>524</v>
      </c>
      <c r="G144" s="2" t="s">
        <v>36</v>
      </c>
      <c r="H144" s="1" t="s">
        <v>78</v>
      </c>
      <c r="I144" s="1" t="s">
        <v>79</v>
      </c>
      <c r="J144" s="2" t="s">
        <v>217</v>
      </c>
      <c r="K144" s="2">
        <v>0</v>
      </c>
      <c r="L144" s="2" t="s">
        <v>43</v>
      </c>
      <c r="M144" s="1">
        <v>75</v>
      </c>
      <c r="N144" s="1" t="s">
        <v>36</v>
      </c>
      <c r="O144" s="1" t="s">
        <v>207</v>
      </c>
      <c r="P144" s="1" t="s">
        <v>208</v>
      </c>
      <c r="Q144" s="2" t="s">
        <v>41</v>
      </c>
      <c r="R144" s="2">
        <v>23</v>
      </c>
      <c r="S144" s="2" t="s">
        <v>42</v>
      </c>
      <c r="T144" s="2">
        <v>0</v>
      </c>
      <c r="U144" s="1" t="s">
        <v>42</v>
      </c>
      <c r="V144" s="1">
        <v>0</v>
      </c>
      <c r="W144" s="11" t="s">
        <v>42</v>
      </c>
      <c r="X144" s="1" t="s">
        <v>42</v>
      </c>
      <c r="Y144" s="1">
        <v>1</v>
      </c>
      <c r="Z144" s="1" t="s">
        <v>58</v>
      </c>
      <c r="AA144" s="3" t="s">
        <v>525</v>
      </c>
      <c r="AB144" s="11">
        <f t="shared" si="11"/>
        <v>23</v>
      </c>
      <c r="AC144" s="11">
        <f t="shared" si="12"/>
        <v>75</v>
      </c>
      <c r="AD144" s="17">
        <v>0.75</v>
      </c>
      <c r="AE144" s="18">
        <f t="shared" si="13"/>
        <v>75</v>
      </c>
      <c r="AF144" s="11" t="str">
        <f t="shared" si="14"/>
        <v>Medium</v>
      </c>
      <c r="AG144" s="14" t="s">
        <v>526</v>
      </c>
      <c r="AH144" s="23" t="s">
        <v>703</v>
      </c>
      <c r="AI144" s="22" t="str">
        <f t="shared" si="15"/>
        <v>Investigate</v>
      </c>
      <c r="AJ144" s="22" t="s">
        <v>61</v>
      </c>
      <c r="AK144" s="3" t="s">
        <v>527</v>
      </c>
    </row>
    <row r="145" spans="1:37" ht="28.8" hidden="1">
      <c r="A145" s="1" t="s">
        <v>221</v>
      </c>
      <c r="B145" s="1" t="s">
        <v>194</v>
      </c>
      <c r="C145" s="1" t="s">
        <v>195</v>
      </c>
      <c r="D145" s="2" t="s">
        <v>80</v>
      </c>
      <c r="E145" s="3" t="s">
        <v>528</v>
      </c>
      <c r="F145" s="3" t="s">
        <v>529</v>
      </c>
      <c r="G145" s="2" t="s">
        <v>80</v>
      </c>
      <c r="H145" s="1" t="s">
        <v>151</v>
      </c>
      <c r="I145" s="1" t="s">
        <v>152</v>
      </c>
      <c r="J145" s="2" t="s">
        <v>57</v>
      </c>
      <c r="K145" s="2">
        <v>9</v>
      </c>
      <c r="L145" s="2" t="s">
        <v>42</v>
      </c>
      <c r="M145" s="1">
        <v>0</v>
      </c>
      <c r="N145" s="1" t="s">
        <v>80</v>
      </c>
      <c r="O145" s="1" t="s">
        <v>151</v>
      </c>
      <c r="P145" s="1" t="s">
        <v>152</v>
      </c>
      <c r="Q145" s="2" t="s">
        <v>57</v>
      </c>
      <c r="R145" s="2">
        <v>9</v>
      </c>
      <c r="S145" s="2" t="s">
        <v>42</v>
      </c>
      <c r="T145" s="1">
        <v>0</v>
      </c>
      <c r="U145" s="1" t="s">
        <v>42</v>
      </c>
      <c r="V145" s="1">
        <v>0</v>
      </c>
      <c r="W145" s="11" t="s">
        <v>42</v>
      </c>
      <c r="X145" s="1" t="s">
        <v>43</v>
      </c>
      <c r="Y145" s="1">
        <v>0</v>
      </c>
      <c r="AB145" s="11">
        <f t="shared" si="11"/>
        <v>0</v>
      </c>
      <c r="AC145" s="11">
        <f t="shared" si="12"/>
        <v>0</v>
      </c>
      <c r="AD145" s="17">
        <v>0</v>
      </c>
      <c r="AE145" s="18">
        <f t="shared" si="13"/>
        <v>0</v>
      </c>
      <c r="AF145" s="11" t="str">
        <f t="shared" si="14"/>
        <v>Low</v>
      </c>
      <c r="AG145" s="14"/>
      <c r="AI145" s="22" t="str">
        <f t="shared" si="15"/>
        <v>Release</v>
      </c>
      <c r="AJ145" s="23"/>
    </row>
    <row r="146" spans="1:37" ht="28.8" hidden="1">
      <c r="A146" s="1" t="s">
        <v>221</v>
      </c>
      <c r="B146" s="1" t="s">
        <v>194</v>
      </c>
      <c r="C146" s="1" t="s">
        <v>200</v>
      </c>
      <c r="D146" s="2" t="s">
        <v>80</v>
      </c>
      <c r="E146" s="3" t="s">
        <v>530</v>
      </c>
      <c r="F146" s="3" t="s">
        <v>531</v>
      </c>
      <c r="G146" s="2" t="s">
        <v>80</v>
      </c>
      <c r="H146" s="1" t="s">
        <v>226</v>
      </c>
      <c r="I146" s="1" t="s">
        <v>227</v>
      </c>
      <c r="J146" s="2" t="s">
        <v>217</v>
      </c>
      <c r="K146" s="2">
        <v>0</v>
      </c>
      <c r="L146" s="2" t="s">
        <v>42</v>
      </c>
      <c r="M146" s="1">
        <v>0</v>
      </c>
      <c r="N146" s="1" t="s">
        <v>80</v>
      </c>
      <c r="O146" s="1" t="s">
        <v>226</v>
      </c>
      <c r="P146" s="1" t="s">
        <v>227</v>
      </c>
      <c r="Q146" s="2" t="s">
        <v>217</v>
      </c>
      <c r="R146" s="2">
        <v>0</v>
      </c>
      <c r="S146" s="2" t="s">
        <v>42</v>
      </c>
      <c r="T146" s="1">
        <v>0</v>
      </c>
      <c r="U146" s="1" t="s">
        <v>42</v>
      </c>
      <c r="V146" s="1">
        <v>0</v>
      </c>
      <c r="W146" s="11" t="s">
        <v>42</v>
      </c>
      <c r="X146" s="1" t="s">
        <v>43</v>
      </c>
      <c r="Y146" s="1">
        <v>0</v>
      </c>
      <c r="AB146" s="11">
        <f t="shared" si="11"/>
        <v>0</v>
      </c>
      <c r="AC146" s="11">
        <f t="shared" si="12"/>
        <v>0</v>
      </c>
      <c r="AD146" s="17">
        <v>0</v>
      </c>
      <c r="AE146" s="18">
        <f t="shared" si="13"/>
        <v>0</v>
      </c>
      <c r="AF146" s="11" t="str">
        <f t="shared" si="14"/>
        <v>Low</v>
      </c>
      <c r="AG146" s="14"/>
      <c r="AI146" s="22" t="str">
        <f t="shared" si="15"/>
        <v>Release</v>
      </c>
      <c r="AJ146" s="23"/>
    </row>
    <row r="147" spans="1:37" ht="28.8" hidden="1">
      <c r="A147" s="1" t="s">
        <v>221</v>
      </c>
      <c r="B147" s="1" t="s">
        <v>194</v>
      </c>
      <c r="C147" s="1" t="s">
        <v>195</v>
      </c>
      <c r="D147" s="2" t="s">
        <v>133</v>
      </c>
      <c r="E147" s="3" t="s">
        <v>532</v>
      </c>
      <c r="F147" s="3" t="s">
        <v>533</v>
      </c>
      <c r="G147" s="2" t="s">
        <v>133</v>
      </c>
      <c r="H147" s="1" t="s">
        <v>230</v>
      </c>
      <c r="I147" s="1" t="s">
        <v>231</v>
      </c>
      <c r="J147" s="2" t="s">
        <v>57</v>
      </c>
      <c r="K147" s="2">
        <v>9</v>
      </c>
      <c r="L147" s="2" t="s">
        <v>42</v>
      </c>
      <c r="M147" s="1">
        <v>0</v>
      </c>
      <c r="N147" s="1" t="s">
        <v>133</v>
      </c>
      <c r="O147" s="1" t="s">
        <v>230</v>
      </c>
      <c r="P147" s="1" t="s">
        <v>231</v>
      </c>
      <c r="Q147" s="2" t="s">
        <v>57</v>
      </c>
      <c r="R147" s="2">
        <v>9</v>
      </c>
      <c r="S147" s="2" t="s">
        <v>42</v>
      </c>
      <c r="T147" s="1">
        <v>0</v>
      </c>
      <c r="U147" s="1" t="s">
        <v>42</v>
      </c>
      <c r="V147" s="1">
        <v>0</v>
      </c>
      <c r="W147" s="11" t="s">
        <v>42</v>
      </c>
      <c r="X147" s="1" t="s">
        <v>43</v>
      </c>
      <c r="Y147" s="1">
        <v>0</v>
      </c>
      <c r="AB147" s="11">
        <f t="shared" si="11"/>
        <v>0</v>
      </c>
      <c r="AC147" s="11">
        <f t="shared" si="12"/>
        <v>0</v>
      </c>
      <c r="AD147" s="17">
        <v>0</v>
      </c>
      <c r="AE147" s="18">
        <f t="shared" si="13"/>
        <v>0</v>
      </c>
      <c r="AF147" s="11" t="str">
        <f t="shared" si="14"/>
        <v>Low</v>
      </c>
      <c r="AG147" s="14"/>
      <c r="AI147" s="22" t="str">
        <f t="shared" si="15"/>
        <v>Release</v>
      </c>
      <c r="AJ147" s="23"/>
    </row>
    <row r="148" spans="1:37" ht="86.4" hidden="1">
      <c r="A148" s="1" t="s">
        <v>221</v>
      </c>
      <c r="B148" s="1" t="s">
        <v>194</v>
      </c>
      <c r="C148" s="1" t="s">
        <v>195</v>
      </c>
      <c r="D148" s="2" t="s">
        <v>80</v>
      </c>
      <c r="E148" s="3" t="s">
        <v>534</v>
      </c>
      <c r="F148" s="3" t="s">
        <v>535</v>
      </c>
      <c r="G148" s="2" t="s">
        <v>80</v>
      </c>
      <c r="H148" s="1" t="s">
        <v>151</v>
      </c>
      <c r="I148" s="1" t="s">
        <v>152</v>
      </c>
      <c r="J148" s="2" t="s">
        <v>57</v>
      </c>
      <c r="K148" s="2">
        <v>9</v>
      </c>
      <c r="L148" s="2" t="s">
        <v>43</v>
      </c>
      <c r="M148" s="1">
        <v>40</v>
      </c>
      <c r="N148" s="1" t="s">
        <v>80</v>
      </c>
      <c r="O148" s="1" t="s">
        <v>226</v>
      </c>
      <c r="P148" s="1" t="s">
        <v>227</v>
      </c>
      <c r="Q148" s="2" t="s">
        <v>57</v>
      </c>
      <c r="R148" s="2">
        <v>9</v>
      </c>
      <c r="S148" s="2" t="s">
        <v>42</v>
      </c>
      <c r="T148" s="1">
        <v>0</v>
      </c>
      <c r="U148" s="1" t="s">
        <v>43</v>
      </c>
      <c r="V148" s="1">
        <v>40</v>
      </c>
      <c r="W148" s="11" t="s">
        <v>43</v>
      </c>
      <c r="X148" s="1" t="s">
        <v>42</v>
      </c>
      <c r="Y148" s="1">
        <v>2</v>
      </c>
      <c r="Z148" s="1" t="s">
        <v>101</v>
      </c>
      <c r="AA148" s="3" t="s">
        <v>536</v>
      </c>
      <c r="AB148" s="11">
        <f t="shared" si="11"/>
        <v>0</v>
      </c>
      <c r="AC148" s="11">
        <f t="shared" si="12"/>
        <v>50</v>
      </c>
      <c r="AD148" s="17">
        <v>0.38</v>
      </c>
      <c r="AE148" s="18">
        <f t="shared" si="13"/>
        <v>0</v>
      </c>
      <c r="AF148" s="11" t="str">
        <f t="shared" si="14"/>
        <v>Low</v>
      </c>
      <c r="AG148" s="14" t="s">
        <v>537</v>
      </c>
      <c r="AH148" s="23" t="s">
        <v>703</v>
      </c>
      <c r="AI148" s="22" t="str">
        <f t="shared" si="15"/>
        <v>Release</v>
      </c>
      <c r="AJ148" s="24" t="s">
        <v>322</v>
      </c>
      <c r="AK148" s="3" t="s">
        <v>538</v>
      </c>
    </row>
    <row r="149" spans="1:37" ht="28.8" hidden="1">
      <c r="A149" s="1" t="s">
        <v>221</v>
      </c>
      <c r="B149" s="1" t="s">
        <v>194</v>
      </c>
      <c r="C149" s="1" t="s">
        <v>200</v>
      </c>
      <c r="D149" s="2" t="s">
        <v>80</v>
      </c>
      <c r="E149" s="3" t="s">
        <v>539</v>
      </c>
      <c r="F149" s="3" t="s">
        <v>540</v>
      </c>
      <c r="G149" s="2" t="s">
        <v>80</v>
      </c>
      <c r="H149" s="1" t="s">
        <v>151</v>
      </c>
      <c r="I149" s="1" t="s">
        <v>152</v>
      </c>
      <c r="J149" s="2" t="s">
        <v>217</v>
      </c>
      <c r="K149" s="2">
        <v>0</v>
      </c>
      <c r="L149" s="2" t="s">
        <v>42</v>
      </c>
      <c r="M149" s="1">
        <v>0</v>
      </c>
      <c r="N149" s="1" t="s">
        <v>80</v>
      </c>
      <c r="O149" s="1" t="s">
        <v>151</v>
      </c>
      <c r="P149" s="1" t="s">
        <v>152</v>
      </c>
      <c r="Q149" s="2" t="s">
        <v>217</v>
      </c>
      <c r="R149" s="2">
        <v>0</v>
      </c>
      <c r="S149" s="2" t="s">
        <v>42</v>
      </c>
      <c r="T149" s="1">
        <v>0</v>
      </c>
      <c r="U149" s="1" t="s">
        <v>42</v>
      </c>
      <c r="V149" s="1">
        <v>0</v>
      </c>
      <c r="W149" s="11" t="s">
        <v>42</v>
      </c>
      <c r="X149" s="1" t="s">
        <v>43</v>
      </c>
      <c r="Y149" s="1">
        <v>0</v>
      </c>
      <c r="AB149" s="11">
        <f t="shared" si="11"/>
        <v>0</v>
      </c>
      <c r="AC149" s="11">
        <f t="shared" si="12"/>
        <v>0</v>
      </c>
      <c r="AD149" s="17">
        <v>0</v>
      </c>
      <c r="AE149" s="18">
        <f t="shared" si="13"/>
        <v>0</v>
      </c>
      <c r="AF149" s="11" t="str">
        <f t="shared" si="14"/>
        <v>Low</v>
      </c>
      <c r="AG149" s="14"/>
      <c r="AI149" s="22" t="str">
        <f t="shared" si="15"/>
        <v>Release</v>
      </c>
      <c r="AJ149" s="23"/>
    </row>
    <row r="150" spans="1:37" ht="28.8" hidden="1">
      <c r="A150" s="1" t="s">
        <v>221</v>
      </c>
      <c r="B150" s="1" t="s">
        <v>194</v>
      </c>
      <c r="C150" s="1" t="s">
        <v>195</v>
      </c>
      <c r="D150" s="2" t="s">
        <v>80</v>
      </c>
      <c r="E150" s="3" t="s">
        <v>541</v>
      </c>
      <c r="F150" s="3" t="s">
        <v>542</v>
      </c>
      <c r="G150" s="2" t="s">
        <v>80</v>
      </c>
      <c r="H150" s="1" t="s">
        <v>226</v>
      </c>
      <c r="I150" s="1" t="s">
        <v>227</v>
      </c>
      <c r="J150" s="2" t="s">
        <v>57</v>
      </c>
      <c r="K150" s="2">
        <v>9</v>
      </c>
      <c r="L150" s="2" t="s">
        <v>42</v>
      </c>
      <c r="M150" s="1">
        <v>0</v>
      </c>
      <c r="N150" s="1" t="s">
        <v>80</v>
      </c>
      <c r="O150" s="1" t="s">
        <v>226</v>
      </c>
      <c r="P150" s="1" t="s">
        <v>227</v>
      </c>
      <c r="Q150" s="2" t="s">
        <v>57</v>
      </c>
      <c r="R150" s="2">
        <v>9</v>
      </c>
      <c r="S150" s="2" t="s">
        <v>42</v>
      </c>
      <c r="T150" s="1">
        <v>0</v>
      </c>
      <c r="U150" s="1" t="s">
        <v>42</v>
      </c>
      <c r="V150" s="1">
        <v>0</v>
      </c>
      <c r="W150" s="11" t="s">
        <v>42</v>
      </c>
      <c r="X150" s="1" t="s">
        <v>43</v>
      </c>
      <c r="Y150" s="1">
        <v>0</v>
      </c>
      <c r="AB150" s="11">
        <f t="shared" si="11"/>
        <v>0</v>
      </c>
      <c r="AC150" s="11">
        <f t="shared" si="12"/>
        <v>0</v>
      </c>
      <c r="AD150" s="17">
        <v>0</v>
      </c>
      <c r="AE150" s="18">
        <f t="shared" si="13"/>
        <v>0</v>
      </c>
      <c r="AF150" s="11" t="str">
        <f t="shared" si="14"/>
        <v>Low</v>
      </c>
      <c r="AG150" s="14"/>
      <c r="AI150" s="22" t="str">
        <f t="shared" si="15"/>
        <v>Release</v>
      </c>
      <c r="AJ150" s="23"/>
    </row>
    <row r="151" spans="1:37" ht="28.8" hidden="1">
      <c r="A151" s="1" t="s">
        <v>221</v>
      </c>
      <c r="B151" s="1" t="s">
        <v>194</v>
      </c>
      <c r="C151" s="1" t="s">
        <v>200</v>
      </c>
      <c r="D151" s="2" t="s">
        <v>133</v>
      </c>
      <c r="E151" s="3" t="s">
        <v>543</v>
      </c>
      <c r="F151" s="3" t="s">
        <v>544</v>
      </c>
      <c r="G151" s="2" t="s">
        <v>133</v>
      </c>
      <c r="H151" s="1" t="s">
        <v>230</v>
      </c>
      <c r="I151" s="1" t="s">
        <v>231</v>
      </c>
      <c r="J151" s="2" t="s">
        <v>217</v>
      </c>
      <c r="K151" s="2">
        <v>0</v>
      </c>
      <c r="L151" s="2" t="s">
        <v>42</v>
      </c>
      <c r="M151" s="1">
        <v>0</v>
      </c>
      <c r="N151" s="1" t="s">
        <v>133</v>
      </c>
      <c r="O151" s="1" t="s">
        <v>230</v>
      </c>
      <c r="P151" s="1" t="s">
        <v>231</v>
      </c>
      <c r="Q151" s="2" t="s">
        <v>217</v>
      </c>
      <c r="R151" s="2">
        <v>0</v>
      </c>
      <c r="S151" s="2" t="s">
        <v>42</v>
      </c>
      <c r="T151" s="1">
        <v>0</v>
      </c>
      <c r="U151" s="1" t="s">
        <v>42</v>
      </c>
      <c r="V151" s="1">
        <v>0</v>
      </c>
      <c r="W151" s="11" t="s">
        <v>42</v>
      </c>
      <c r="X151" s="1" t="s">
        <v>43</v>
      </c>
      <c r="Y151" s="1">
        <v>0</v>
      </c>
      <c r="AB151" s="11">
        <f t="shared" si="11"/>
        <v>0</v>
      </c>
      <c r="AC151" s="11">
        <f t="shared" si="12"/>
        <v>0</v>
      </c>
      <c r="AD151" s="17">
        <v>0</v>
      </c>
      <c r="AE151" s="18">
        <f t="shared" si="13"/>
        <v>0</v>
      </c>
      <c r="AF151" s="11" t="str">
        <f t="shared" si="14"/>
        <v>Low</v>
      </c>
      <c r="AG151" s="14"/>
      <c r="AI151" s="22" t="str">
        <f t="shared" si="15"/>
        <v>Release</v>
      </c>
      <c r="AJ151" s="23"/>
    </row>
    <row r="152" spans="1:37" ht="43.2">
      <c r="A152" s="1" t="s">
        <v>221</v>
      </c>
      <c r="B152" s="1" t="s">
        <v>194</v>
      </c>
      <c r="C152" s="1" t="s">
        <v>200</v>
      </c>
      <c r="D152" s="2" t="s">
        <v>80</v>
      </c>
      <c r="E152" s="3" t="s">
        <v>545</v>
      </c>
      <c r="F152" s="3" t="s">
        <v>546</v>
      </c>
      <c r="G152" s="2" t="s">
        <v>80</v>
      </c>
      <c r="H152" s="1" t="s">
        <v>151</v>
      </c>
      <c r="I152" s="1" t="s">
        <v>152</v>
      </c>
      <c r="J152" s="2" t="s">
        <v>217</v>
      </c>
      <c r="K152" s="2">
        <v>0</v>
      </c>
      <c r="L152" s="2" t="s">
        <v>42</v>
      </c>
      <c r="M152" s="1">
        <v>0</v>
      </c>
      <c r="N152" s="1" t="s">
        <v>80</v>
      </c>
      <c r="O152" s="1" t="s">
        <v>151</v>
      </c>
      <c r="P152" s="1" t="s">
        <v>152</v>
      </c>
      <c r="Q152" s="2" t="s">
        <v>217</v>
      </c>
      <c r="R152" s="2">
        <v>0</v>
      </c>
      <c r="S152" s="2" t="s">
        <v>42</v>
      </c>
      <c r="T152" s="1">
        <v>0</v>
      </c>
      <c r="U152" s="1" t="s">
        <v>43</v>
      </c>
      <c r="V152" s="1">
        <v>40</v>
      </c>
      <c r="W152" s="11" t="s">
        <v>43</v>
      </c>
      <c r="X152" s="1" t="s">
        <v>43</v>
      </c>
      <c r="Y152" s="1">
        <v>1</v>
      </c>
      <c r="Z152" s="1" t="s">
        <v>91</v>
      </c>
      <c r="AA152" s="3" t="s">
        <v>547</v>
      </c>
      <c r="AB152" s="11">
        <f t="shared" si="11"/>
        <v>0</v>
      </c>
      <c r="AC152" s="11">
        <f t="shared" si="12"/>
        <v>40</v>
      </c>
      <c r="AD152" s="17">
        <v>0.28000000000000003</v>
      </c>
      <c r="AE152" s="18">
        <f t="shared" si="13"/>
        <v>40</v>
      </c>
      <c r="AF152" s="11" t="str">
        <f t="shared" si="14"/>
        <v>Medium</v>
      </c>
      <c r="AG152" s="14" t="s">
        <v>385</v>
      </c>
      <c r="AH152" s="22" t="s">
        <v>696</v>
      </c>
      <c r="AI152" s="22" t="str">
        <f t="shared" si="15"/>
        <v>Investigate</v>
      </c>
      <c r="AJ152" s="22" t="s">
        <v>702</v>
      </c>
      <c r="AK152" s="3" t="s">
        <v>548</v>
      </c>
    </row>
    <row r="153" spans="1:37" ht="28.8" hidden="1">
      <c r="A153" s="1" t="s">
        <v>221</v>
      </c>
      <c r="B153" s="1" t="s">
        <v>194</v>
      </c>
      <c r="C153" s="1" t="s">
        <v>195</v>
      </c>
      <c r="D153" s="2" t="s">
        <v>80</v>
      </c>
      <c r="E153" s="3" t="s">
        <v>549</v>
      </c>
      <c r="F153" s="3" t="s">
        <v>550</v>
      </c>
      <c r="G153" s="2" t="s">
        <v>80</v>
      </c>
      <c r="H153" s="1" t="s">
        <v>151</v>
      </c>
      <c r="I153" s="1" t="s">
        <v>152</v>
      </c>
      <c r="J153" s="2" t="s">
        <v>57</v>
      </c>
      <c r="K153" s="2">
        <v>9</v>
      </c>
      <c r="L153" s="2" t="s">
        <v>42</v>
      </c>
      <c r="M153" s="1">
        <v>0</v>
      </c>
      <c r="N153" s="1" t="s">
        <v>80</v>
      </c>
      <c r="O153" s="1" t="s">
        <v>151</v>
      </c>
      <c r="P153" s="1" t="s">
        <v>152</v>
      </c>
      <c r="Q153" s="2" t="s">
        <v>57</v>
      </c>
      <c r="R153" s="2">
        <v>9</v>
      </c>
      <c r="S153" s="2" t="s">
        <v>42</v>
      </c>
      <c r="T153" s="1">
        <v>0</v>
      </c>
      <c r="U153" s="1" t="s">
        <v>42</v>
      </c>
      <c r="V153" s="1">
        <v>0</v>
      </c>
      <c r="W153" s="11" t="s">
        <v>42</v>
      </c>
      <c r="X153" s="1" t="s">
        <v>43</v>
      </c>
      <c r="Y153" s="1">
        <v>0</v>
      </c>
      <c r="AB153" s="11">
        <f t="shared" si="11"/>
        <v>0</v>
      </c>
      <c r="AC153" s="11">
        <f t="shared" si="12"/>
        <v>0</v>
      </c>
      <c r="AD153" s="17">
        <v>0</v>
      </c>
      <c r="AE153" s="18">
        <f t="shared" si="13"/>
        <v>0</v>
      </c>
      <c r="AF153" s="11" t="str">
        <f t="shared" si="14"/>
        <v>Low</v>
      </c>
      <c r="AG153" s="14"/>
      <c r="AI153" s="22" t="str">
        <f t="shared" si="15"/>
        <v>Release</v>
      </c>
      <c r="AJ153" s="23"/>
    </row>
    <row r="154" spans="1:37" ht="28.8" hidden="1">
      <c r="A154" s="1" t="s">
        <v>221</v>
      </c>
      <c r="B154" s="1" t="s">
        <v>194</v>
      </c>
      <c r="C154" s="1" t="s">
        <v>200</v>
      </c>
      <c r="D154" s="2" t="s">
        <v>80</v>
      </c>
      <c r="E154" s="3" t="s">
        <v>551</v>
      </c>
      <c r="F154" s="3" t="s">
        <v>552</v>
      </c>
      <c r="G154" s="2" t="s">
        <v>80</v>
      </c>
      <c r="H154" s="1" t="s">
        <v>226</v>
      </c>
      <c r="I154" s="1" t="s">
        <v>227</v>
      </c>
      <c r="J154" s="2" t="s">
        <v>217</v>
      </c>
      <c r="K154" s="2">
        <v>0</v>
      </c>
      <c r="L154" s="2" t="s">
        <v>42</v>
      </c>
      <c r="M154" s="1">
        <v>0</v>
      </c>
      <c r="N154" s="1" t="s">
        <v>80</v>
      </c>
      <c r="O154" s="1" t="s">
        <v>226</v>
      </c>
      <c r="P154" s="1" t="s">
        <v>227</v>
      </c>
      <c r="Q154" s="2" t="s">
        <v>217</v>
      </c>
      <c r="R154" s="2">
        <v>0</v>
      </c>
      <c r="S154" s="2" t="s">
        <v>42</v>
      </c>
      <c r="T154" s="1">
        <v>0</v>
      </c>
      <c r="U154" s="1" t="s">
        <v>42</v>
      </c>
      <c r="V154" s="1">
        <v>0</v>
      </c>
      <c r="W154" s="11" t="s">
        <v>42</v>
      </c>
      <c r="X154" s="1" t="s">
        <v>43</v>
      </c>
      <c r="Y154" s="1">
        <v>0</v>
      </c>
      <c r="AB154" s="11">
        <f t="shared" si="11"/>
        <v>0</v>
      </c>
      <c r="AC154" s="11">
        <f t="shared" si="12"/>
        <v>0</v>
      </c>
      <c r="AD154" s="17">
        <v>0</v>
      </c>
      <c r="AE154" s="18">
        <f t="shared" si="13"/>
        <v>0</v>
      </c>
      <c r="AF154" s="11" t="str">
        <f t="shared" si="14"/>
        <v>Low</v>
      </c>
      <c r="AG154" s="14"/>
      <c r="AI154" s="22" t="str">
        <f t="shared" si="15"/>
        <v>Release</v>
      </c>
      <c r="AJ154" s="23"/>
    </row>
    <row r="155" spans="1:37" ht="28.8" hidden="1">
      <c r="A155" s="1" t="s">
        <v>221</v>
      </c>
      <c r="B155" s="1" t="s">
        <v>194</v>
      </c>
      <c r="C155" s="1" t="s">
        <v>195</v>
      </c>
      <c r="D155" s="2" t="s">
        <v>133</v>
      </c>
      <c r="E155" s="3" t="s">
        <v>553</v>
      </c>
      <c r="F155" s="3" t="s">
        <v>554</v>
      </c>
      <c r="G155" s="2" t="s">
        <v>133</v>
      </c>
      <c r="H155" s="1" t="s">
        <v>230</v>
      </c>
      <c r="I155" s="1" t="s">
        <v>231</v>
      </c>
      <c r="J155" s="2" t="s">
        <v>57</v>
      </c>
      <c r="K155" s="2">
        <v>9</v>
      </c>
      <c r="L155" s="2" t="s">
        <v>42</v>
      </c>
      <c r="M155" s="1">
        <v>0</v>
      </c>
      <c r="N155" s="1" t="s">
        <v>133</v>
      </c>
      <c r="O155" s="1" t="s">
        <v>230</v>
      </c>
      <c r="P155" s="1" t="s">
        <v>231</v>
      </c>
      <c r="Q155" s="2" t="s">
        <v>57</v>
      </c>
      <c r="R155" s="2">
        <v>9</v>
      </c>
      <c r="S155" s="2" t="s">
        <v>42</v>
      </c>
      <c r="T155" s="1">
        <v>0</v>
      </c>
      <c r="U155" s="1" t="s">
        <v>42</v>
      </c>
      <c r="V155" s="1">
        <v>0</v>
      </c>
      <c r="W155" s="11" t="s">
        <v>42</v>
      </c>
      <c r="X155" s="1" t="s">
        <v>43</v>
      </c>
      <c r="Y155" s="1">
        <v>0</v>
      </c>
      <c r="AB155" s="11">
        <f t="shared" si="11"/>
        <v>0</v>
      </c>
      <c r="AC155" s="11">
        <f t="shared" si="12"/>
        <v>0</v>
      </c>
      <c r="AD155" s="17">
        <v>0</v>
      </c>
      <c r="AE155" s="18">
        <f t="shared" si="13"/>
        <v>0</v>
      </c>
      <c r="AF155" s="11" t="str">
        <f t="shared" si="14"/>
        <v>Low</v>
      </c>
      <c r="AG155" s="14"/>
      <c r="AI155" s="22" t="str">
        <f t="shared" si="15"/>
        <v>Release</v>
      </c>
      <c r="AJ155" s="23"/>
    </row>
    <row r="156" spans="1:37" ht="72" hidden="1">
      <c r="A156" s="1" t="s">
        <v>221</v>
      </c>
      <c r="B156" s="1" t="s">
        <v>194</v>
      </c>
      <c r="C156" s="1" t="s">
        <v>195</v>
      </c>
      <c r="D156" s="2" t="s">
        <v>80</v>
      </c>
      <c r="E156" s="3" t="s">
        <v>555</v>
      </c>
      <c r="F156" s="3" t="s">
        <v>556</v>
      </c>
      <c r="G156" s="2" t="s">
        <v>80</v>
      </c>
      <c r="H156" s="1" t="s">
        <v>151</v>
      </c>
      <c r="I156" s="1" t="s">
        <v>152</v>
      </c>
      <c r="J156" s="2" t="s">
        <v>57</v>
      </c>
      <c r="K156" s="2">
        <v>9</v>
      </c>
      <c r="L156" s="2" t="s">
        <v>42</v>
      </c>
      <c r="M156" s="9">
        <v>10</v>
      </c>
      <c r="N156" s="1" t="s">
        <v>80</v>
      </c>
      <c r="O156" s="1" t="s">
        <v>151</v>
      </c>
      <c r="P156" s="1" t="s">
        <v>152</v>
      </c>
      <c r="Q156" s="2" t="s">
        <v>57</v>
      </c>
      <c r="R156" s="2">
        <v>9</v>
      </c>
      <c r="S156" s="2" t="s">
        <v>43</v>
      </c>
      <c r="T156" s="9">
        <v>60</v>
      </c>
      <c r="U156" s="1" t="s">
        <v>43</v>
      </c>
      <c r="V156" s="1">
        <v>40</v>
      </c>
      <c r="W156" s="11" t="s">
        <v>43</v>
      </c>
      <c r="X156" s="1" t="s">
        <v>43</v>
      </c>
      <c r="Y156" s="1">
        <v>2</v>
      </c>
      <c r="Z156" s="1" t="s">
        <v>240</v>
      </c>
      <c r="AA156" s="3" t="s">
        <v>557</v>
      </c>
      <c r="AB156" s="11">
        <f t="shared" si="11"/>
        <v>0</v>
      </c>
      <c r="AC156" s="11">
        <f t="shared" si="12"/>
        <v>70</v>
      </c>
      <c r="AD156" s="17">
        <v>0.52</v>
      </c>
      <c r="AE156" s="18">
        <f t="shared" si="13"/>
        <v>100</v>
      </c>
      <c r="AF156" s="11" t="str">
        <f t="shared" si="14"/>
        <v>High</v>
      </c>
      <c r="AG156" s="14" t="s">
        <v>558</v>
      </c>
      <c r="AH156" s="22" t="s">
        <v>703</v>
      </c>
      <c r="AI156" s="22" t="str">
        <f t="shared" si="15"/>
        <v>Retain</v>
      </c>
      <c r="AJ156" s="22" t="s">
        <v>701</v>
      </c>
      <c r="AK156" s="3" t="s">
        <v>559</v>
      </c>
    </row>
    <row r="157" spans="1:37" ht="28.8" hidden="1">
      <c r="A157" s="1" t="s">
        <v>244</v>
      </c>
      <c r="B157" s="1" t="s">
        <v>194</v>
      </c>
      <c r="C157" s="1" t="s">
        <v>195</v>
      </c>
      <c r="D157" s="2" t="s">
        <v>245</v>
      </c>
      <c r="E157" s="3" t="s">
        <v>560</v>
      </c>
      <c r="F157" s="3" t="s">
        <v>561</v>
      </c>
      <c r="G157" s="2" t="s">
        <v>245</v>
      </c>
      <c r="H157" s="1" t="s">
        <v>248</v>
      </c>
      <c r="I157" s="1" t="s">
        <v>249</v>
      </c>
      <c r="J157" s="2" t="s">
        <v>41</v>
      </c>
      <c r="K157" s="2">
        <v>21</v>
      </c>
      <c r="L157" s="2" t="s">
        <v>42</v>
      </c>
      <c r="M157" s="1">
        <v>0</v>
      </c>
      <c r="N157" s="1" t="s">
        <v>245</v>
      </c>
      <c r="O157" s="1" t="s">
        <v>248</v>
      </c>
      <c r="P157" s="1" t="s">
        <v>249</v>
      </c>
      <c r="Q157" s="2" t="s">
        <v>41</v>
      </c>
      <c r="R157" s="2">
        <v>21</v>
      </c>
      <c r="S157" s="2" t="s">
        <v>42</v>
      </c>
      <c r="T157" s="1">
        <v>0</v>
      </c>
      <c r="U157" s="1" t="s">
        <v>42</v>
      </c>
      <c r="V157" s="1">
        <v>0</v>
      </c>
      <c r="W157" s="11" t="s">
        <v>42</v>
      </c>
      <c r="X157" s="1" t="s">
        <v>43</v>
      </c>
      <c r="Y157" s="1">
        <v>0</v>
      </c>
      <c r="AB157" s="11">
        <f t="shared" si="11"/>
        <v>0</v>
      </c>
      <c r="AC157" s="11">
        <f t="shared" si="12"/>
        <v>0</v>
      </c>
      <c r="AD157" s="17">
        <v>0</v>
      </c>
      <c r="AE157" s="18">
        <f t="shared" si="13"/>
        <v>0</v>
      </c>
      <c r="AF157" s="11" t="str">
        <f t="shared" si="14"/>
        <v>Low</v>
      </c>
      <c r="AG157" s="14"/>
      <c r="AI157" s="22" t="str">
        <f t="shared" si="15"/>
        <v>Release</v>
      </c>
      <c r="AJ157" s="23"/>
    </row>
    <row r="158" spans="1:37" ht="28.8" hidden="1">
      <c r="A158" s="1" t="s">
        <v>244</v>
      </c>
      <c r="B158" s="1" t="s">
        <v>194</v>
      </c>
      <c r="C158" s="1" t="s">
        <v>200</v>
      </c>
      <c r="D158" s="2" t="s">
        <v>106</v>
      </c>
      <c r="E158" s="3" t="s">
        <v>562</v>
      </c>
      <c r="F158" s="3" t="s">
        <v>563</v>
      </c>
      <c r="G158" s="2" t="s">
        <v>106</v>
      </c>
      <c r="H158" s="1" t="s">
        <v>252</v>
      </c>
      <c r="I158" s="1" t="s">
        <v>253</v>
      </c>
      <c r="J158" s="2" t="s">
        <v>41</v>
      </c>
      <c r="K158" s="2">
        <v>23</v>
      </c>
      <c r="L158" s="2" t="s">
        <v>42</v>
      </c>
      <c r="M158" s="1">
        <v>0</v>
      </c>
      <c r="N158" s="1" t="s">
        <v>106</v>
      </c>
      <c r="O158" s="1" t="s">
        <v>252</v>
      </c>
      <c r="P158" s="1" t="s">
        <v>253</v>
      </c>
      <c r="Q158" s="2" t="s">
        <v>41</v>
      </c>
      <c r="R158" s="2">
        <v>23</v>
      </c>
      <c r="S158" s="2" t="s">
        <v>42</v>
      </c>
      <c r="T158" s="1">
        <v>0</v>
      </c>
      <c r="U158" s="1" t="s">
        <v>42</v>
      </c>
      <c r="V158" s="1">
        <v>0</v>
      </c>
      <c r="W158" s="11" t="s">
        <v>42</v>
      </c>
      <c r="X158" s="1" t="s">
        <v>43</v>
      </c>
      <c r="Y158" s="1">
        <v>0</v>
      </c>
      <c r="AB158" s="11">
        <f t="shared" si="11"/>
        <v>0</v>
      </c>
      <c r="AC158" s="11">
        <f t="shared" si="12"/>
        <v>0</v>
      </c>
      <c r="AD158" s="17">
        <v>0</v>
      </c>
      <c r="AE158" s="18">
        <f t="shared" si="13"/>
        <v>0</v>
      </c>
      <c r="AF158" s="11" t="str">
        <f t="shared" si="14"/>
        <v>Low</v>
      </c>
      <c r="AG158" s="14"/>
      <c r="AI158" s="22" t="str">
        <f t="shared" si="15"/>
        <v>Release</v>
      </c>
      <c r="AJ158" s="23"/>
    </row>
    <row r="159" spans="1:37" ht="28.8" hidden="1">
      <c r="A159" s="1" t="s">
        <v>244</v>
      </c>
      <c r="B159" s="1" t="s">
        <v>194</v>
      </c>
      <c r="C159" s="1" t="s">
        <v>195</v>
      </c>
      <c r="D159" s="2" t="s">
        <v>36</v>
      </c>
      <c r="E159" s="3" t="s">
        <v>564</v>
      </c>
      <c r="F159" s="3" t="s">
        <v>565</v>
      </c>
      <c r="G159" s="2" t="s">
        <v>36</v>
      </c>
      <c r="H159" s="1" t="s">
        <v>50</v>
      </c>
      <c r="I159" s="1" t="s">
        <v>51</v>
      </c>
      <c r="J159" s="2" t="s">
        <v>41</v>
      </c>
      <c r="K159" s="2">
        <v>21</v>
      </c>
      <c r="L159" s="2" t="s">
        <v>42</v>
      </c>
      <c r="M159" s="1">
        <v>0</v>
      </c>
      <c r="N159" s="1" t="s">
        <v>36</v>
      </c>
      <c r="O159" s="1" t="s">
        <v>50</v>
      </c>
      <c r="P159" s="1" t="s">
        <v>51</v>
      </c>
      <c r="Q159" s="2" t="s">
        <v>41</v>
      </c>
      <c r="R159" s="2">
        <v>21</v>
      </c>
      <c r="S159" s="2" t="s">
        <v>42</v>
      </c>
      <c r="T159" s="1">
        <v>0</v>
      </c>
      <c r="U159" s="1" t="s">
        <v>42</v>
      </c>
      <c r="V159" s="1">
        <v>0</v>
      </c>
      <c r="W159" s="11" t="s">
        <v>42</v>
      </c>
      <c r="X159" s="1" t="s">
        <v>43</v>
      </c>
      <c r="Y159" s="1">
        <v>0</v>
      </c>
      <c r="AB159" s="11">
        <f t="shared" si="11"/>
        <v>0</v>
      </c>
      <c r="AC159" s="11">
        <f t="shared" si="12"/>
        <v>0</v>
      </c>
      <c r="AD159" s="17">
        <v>0</v>
      </c>
      <c r="AE159" s="18">
        <f t="shared" si="13"/>
        <v>0</v>
      </c>
      <c r="AF159" s="11" t="str">
        <f t="shared" si="14"/>
        <v>Low</v>
      </c>
      <c r="AG159" s="14"/>
      <c r="AI159" s="22" t="str">
        <f t="shared" si="15"/>
        <v>Release</v>
      </c>
      <c r="AJ159" s="23"/>
    </row>
    <row r="160" spans="1:37" ht="57.6" hidden="1">
      <c r="A160" s="1" t="s">
        <v>244</v>
      </c>
      <c r="B160" s="1" t="s">
        <v>194</v>
      </c>
      <c r="C160" s="1" t="s">
        <v>200</v>
      </c>
      <c r="D160" s="2" t="s">
        <v>106</v>
      </c>
      <c r="E160" s="3" t="s">
        <v>566</v>
      </c>
      <c r="F160" s="3" t="s">
        <v>567</v>
      </c>
      <c r="G160" s="2" t="s">
        <v>106</v>
      </c>
      <c r="H160" s="1" t="s">
        <v>127</v>
      </c>
      <c r="I160" s="1" t="s">
        <v>128</v>
      </c>
      <c r="J160" s="2" t="s">
        <v>217</v>
      </c>
      <c r="K160" s="2">
        <v>0</v>
      </c>
      <c r="L160" s="2" t="s">
        <v>43</v>
      </c>
      <c r="M160" s="1">
        <v>75</v>
      </c>
      <c r="N160" s="1" t="s">
        <v>106</v>
      </c>
      <c r="O160" s="1" t="s">
        <v>252</v>
      </c>
      <c r="P160" s="1" t="s">
        <v>253</v>
      </c>
      <c r="Q160" s="2" t="s">
        <v>41</v>
      </c>
      <c r="R160" s="2">
        <v>23</v>
      </c>
      <c r="S160" s="2" t="s">
        <v>42</v>
      </c>
      <c r="T160" s="2">
        <v>0</v>
      </c>
      <c r="U160" s="1" t="s">
        <v>42</v>
      </c>
      <c r="V160" s="1">
        <v>0</v>
      </c>
      <c r="W160" s="11" t="s">
        <v>42</v>
      </c>
      <c r="X160" s="1" t="s">
        <v>42</v>
      </c>
      <c r="Y160" s="1">
        <v>1</v>
      </c>
      <c r="Z160" s="1" t="s">
        <v>58</v>
      </c>
      <c r="AA160" s="3" t="s">
        <v>568</v>
      </c>
      <c r="AB160" s="11">
        <f t="shared" si="11"/>
        <v>23</v>
      </c>
      <c r="AC160" s="11">
        <f t="shared" si="12"/>
        <v>75</v>
      </c>
      <c r="AD160" s="17">
        <v>0.75</v>
      </c>
      <c r="AE160" s="18">
        <f t="shared" si="13"/>
        <v>75</v>
      </c>
      <c r="AF160" s="11" t="str">
        <f t="shared" si="14"/>
        <v>Medium</v>
      </c>
      <c r="AG160" s="14" t="s">
        <v>569</v>
      </c>
      <c r="AH160" s="23" t="s">
        <v>703</v>
      </c>
      <c r="AI160" s="22" t="str">
        <f t="shared" si="15"/>
        <v>Investigate</v>
      </c>
      <c r="AJ160" s="22" t="s">
        <v>61</v>
      </c>
      <c r="AK160" s="3" t="s">
        <v>570</v>
      </c>
    </row>
    <row r="161" spans="1:37" ht="28.8" hidden="1">
      <c r="A161" s="1" t="s">
        <v>244</v>
      </c>
      <c r="B161" s="1" t="s">
        <v>194</v>
      </c>
      <c r="C161" s="1" t="s">
        <v>200</v>
      </c>
      <c r="D161" s="2" t="s">
        <v>245</v>
      </c>
      <c r="E161" s="3" t="s">
        <v>571</v>
      </c>
      <c r="F161" s="3" t="s">
        <v>572</v>
      </c>
      <c r="G161" s="2" t="s">
        <v>245</v>
      </c>
      <c r="H161" s="1" t="s">
        <v>248</v>
      </c>
      <c r="I161" s="1" t="s">
        <v>249</v>
      </c>
      <c r="J161" s="2" t="s">
        <v>41</v>
      </c>
      <c r="K161" s="2">
        <v>23</v>
      </c>
      <c r="L161" s="2" t="s">
        <v>42</v>
      </c>
      <c r="M161" s="1">
        <v>0</v>
      </c>
      <c r="N161" s="1" t="s">
        <v>245</v>
      </c>
      <c r="O161" s="1" t="s">
        <v>248</v>
      </c>
      <c r="P161" s="1" t="s">
        <v>249</v>
      </c>
      <c r="Q161" s="2" t="s">
        <v>41</v>
      </c>
      <c r="R161" s="2">
        <v>23</v>
      </c>
      <c r="S161" s="2" t="s">
        <v>42</v>
      </c>
      <c r="T161" s="1">
        <v>0</v>
      </c>
      <c r="U161" s="1" t="s">
        <v>42</v>
      </c>
      <c r="V161" s="1">
        <v>0</v>
      </c>
      <c r="W161" s="11" t="s">
        <v>42</v>
      </c>
      <c r="X161" s="1" t="s">
        <v>43</v>
      </c>
      <c r="Y161" s="1">
        <v>0</v>
      </c>
      <c r="AB161" s="11">
        <f t="shared" si="11"/>
        <v>0</v>
      </c>
      <c r="AC161" s="11">
        <f t="shared" si="12"/>
        <v>0</v>
      </c>
      <c r="AD161" s="17">
        <v>0</v>
      </c>
      <c r="AE161" s="18">
        <f t="shared" si="13"/>
        <v>0</v>
      </c>
      <c r="AF161" s="11" t="str">
        <f t="shared" si="14"/>
        <v>Low</v>
      </c>
      <c r="AG161" s="14"/>
      <c r="AI161" s="22" t="str">
        <f t="shared" si="15"/>
        <v>Release</v>
      </c>
      <c r="AJ161" s="23"/>
    </row>
    <row r="162" spans="1:37" ht="28.8" hidden="1">
      <c r="A162" s="1" t="s">
        <v>244</v>
      </c>
      <c r="B162" s="1" t="s">
        <v>194</v>
      </c>
      <c r="C162" s="1" t="s">
        <v>195</v>
      </c>
      <c r="D162" s="2" t="s">
        <v>106</v>
      </c>
      <c r="E162" s="3" t="s">
        <v>573</v>
      </c>
      <c r="F162" s="3" t="s">
        <v>574</v>
      </c>
      <c r="G162" s="2" t="s">
        <v>106</v>
      </c>
      <c r="H162" s="1" t="s">
        <v>252</v>
      </c>
      <c r="I162" s="1" t="s">
        <v>253</v>
      </c>
      <c r="J162" s="2" t="s">
        <v>41</v>
      </c>
      <c r="K162" s="2">
        <v>21</v>
      </c>
      <c r="L162" s="2" t="s">
        <v>42</v>
      </c>
      <c r="M162" s="1">
        <v>0</v>
      </c>
      <c r="N162" s="1" t="s">
        <v>106</v>
      </c>
      <c r="O162" s="1" t="s">
        <v>252</v>
      </c>
      <c r="P162" s="1" t="s">
        <v>253</v>
      </c>
      <c r="Q162" s="2" t="s">
        <v>41</v>
      </c>
      <c r="R162" s="2">
        <v>21</v>
      </c>
      <c r="S162" s="2" t="s">
        <v>42</v>
      </c>
      <c r="T162" s="1">
        <v>0</v>
      </c>
      <c r="U162" s="1" t="s">
        <v>42</v>
      </c>
      <c r="V162" s="1">
        <v>0</v>
      </c>
      <c r="W162" s="11" t="s">
        <v>42</v>
      </c>
      <c r="X162" s="1" t="s">
        <v>43</v>
      </c>
      <c r="Y162" s="1">
        <v>0</v>
      </c>
      <c r="AB162" s="11">
        <f t="shared" si="11"/>
        <v>0</v>
      </c>
      <c r="AC162" s="11">
        <f t="shared" si="12"/>
        <v>0</v>
      </c>
      <c r="AD162" s="17">
        <v>0</v>
      </c>
      <c r="AE162" s="18">
        <f t="shared" si="13"/>
        <v>0</v>
      </c>
      <c r="AF162" s="11" t="str">
        <f t="shared" si="14"/>
        <v>Low</v>
      </c>
      <c r="AG162" s="14"/>
      <c r="AI162" s="22" t="str">
        <f t="shared" si="15"/>
        <v>Release</v>
      </c>
      <c r="AJ162" s="23"/>
    </row>
    <row r="163" spans="1:37" ht="28.8" hidden="1">
      <c r="A163" s="1" t="s">
        <v>244</v>
      </c>
      <c r="B163" s="1" t="s">
        <v>194</v>
      </c>
      <c r="C163" s="1" t="s">
        <v>200</v>
      </c>
      <c r="D163" s="2" t="s">
        <v>36</v>
      </c>
      <c r="E163" s="3" t="s">
        <v>575</v>
      </c>
      <c r="F163" s="3" t="s">
        <v>576</v>
      </c>
      <c r="G163" s="2" t="s">
        <v>36</v>
      </c>
      <c r="H163" s="1" t="s">
        <v>50</v>
      </c>
      <c r="I163" s="1" t="s">
        <v>51</v>
      </c>
      <c r="J163" s="2" t="s">
        <v>41</v>
      </c>
      <c r="K163" s="2">
        <v>23</v>
      </c>
      <c r="L163" s="2" t="s">
        <v>42</v>
      </c>
      <c r="M163" s="1">
        <v>0</v>
      </c>
      <c r="N163" s="1" t="s">
        <v>36</v>
      </c>
      <c r="O163" s="1" t="s">
        <v>50</v>
      </c>
      <c r="P163" s="1" t="s">
        <v>51</v>
      </c>
      <c r="Q163" s="2" t="s">
        <v>41</v>
      </c>
      <c r="R163" s="2">
        <v>23</v>
      </c>
      <c r="S163" s="2" t="s">
        <v>42</v>
      </c>
      <c r="T163" s="1">
        <v>0</v>
      </c>
      <c r="U163" s="1" t="s">
        <v>42</v>
      </c>
      <c r="V163" s="1">
        <v>0</v>
      </c>
      <c r="W163" s="11" t="s">
        <v>42</v>
      </c>
      <c r="X163" s="1" t="s">
        <v>43</v>
      </c>
      <c r="Y163" s="1">
        <v>0</v>
      </c>
      <c r="AB163" s="11">
        <f t="shared" si="11"/>
        <v>0</v>
      </c>
      <c r="AC163" s="11">
        <f t="shared" si="12"/>
        <v>0</v>
      </c>
      <c r="AD163" s="17">
        <v>0</v>
      </c>
      <c r="AE163" s="18">
        <f t="shared" si="13"/>
        <v>0</v>
      </c>
      <c r="AF163" s="11" t="str">
        <f t="shared" si="14"/>
        <v>Low</v>
      </c>
      <c r="AG163" s="14"/>
      <c r="AI163" s="22" t="str">
        <f t="shared" si="15"/>
        <v>Release</v>
      </c>
      <c r="AJ163" s="23"/>
    </row>
    <row r="164" spans="1:37" ht="43.2" hidden="1">
      <c r="A164" s="1" t="s">
        <v>244</v>
      </c>
      <c r="B164" s="1" t="s">
        <v>194</v>
      </c>
      <c r="C164" s="1" t="s">
        <v>195</v>
      </c>
      <c r="D164" s="2" t="s">
        <v>245</v>
      </c>
      <c r="E164" s="3" t="s">
        <v>577</v>
      </c>
      <c r="F164" s="3" t="s">
        <v>578</v>
      </c>
      <c r="G164" s="2" t="s">
        <v>245</v>
      </c>
      <c r="H164" s="1" t="s">
        <v>248</v>
      </c>
      <c r="I164" s="1" t="s">
        <v>249</v>
      </c>
      <c r="J164" s="2" t="s">
        <v>41</v>
      </c>
      <c r="K164" s="2">
        <v>21</v>
      </c>
      <c r="L164" s="2" t="s">
        <v>42</v>
      </c>
      <c r="M164" s="9">
        <v>15</v>
      </c>
      <c r="N164" s="1" t="s">
        <v>245</v>
      </c>
      <c r="O164" s="1" t="s">
        <v>248</v>
      </c>
      <c r="P164" s="1" t="s">
        <v>249</v>
      </c>
      <c r="Q164" s="2" t="s">
        <v>41</v>
      </c>
      <c r="R164" s="2">
        <v>21</v>
      </c>
      <c r="S164" s="2" t="s">
        <v>43</v>
      </c>
      <c r="T164" s="9">
        <v>60</v>
      </c>
      <c r="U164" s="1" t="s">
        <v>42</v>
      </c>
      <c r="V164" s="1">
        <v>0</v>
      </c>
      <c r="W164" s="11" t="s">
        <v>42</v>
      </c>
      <c r="X164" s="1" t="s">
        <v>43</v>
      </c>
      <c r="Y164" s="1">
        <v>1</v>
      </c>
      <c r="Z164" s="1" t="s">
        <v>71</v>
      </c>
      <c r="AA164" s="3" t="s">
        <v>579</v>
      </c>
      <c r="AB164" s="11">
        <f t="shared" si="11"/>
        <v>0</v>
      </c>
      <c r="AC164" s="11">
        <f t="shared" si="12"/>
        <v>60</v>
      </c>
      <c r="AD164" s="17">
        <v>0.44</v>
      </c>
      <c r="AE164" s="18">
        <f t="shared" si="13"/>
        <v>60</v>
      </c>
      <c r="AF164" s="11" t="str">
        <f t="shared" si="14"/>
        <v>Medium</v>
      </c>
      <c r="AG164" s="14" t="s">
        <v>580</v>
      </c>
      <c r="AH164" s="22" t="s">
        <v>696</v>
      </c>
      <c r="AI164" s="22" t="str">
        <f t="shared" si="15"/>
        <v>Investigate</v>
      </c>
      <c r="AJ164" s="22" t="s">
        <v>702</v>
      </c>
      <c r="AK164" s="3" t="s">
        <v>581</v>
      </c>
    </row>
    <row r="165" spans="1:37" ht="28.8" hidden="1">
      <c r="A165" s="1" t="s">
        <v>244</v>
      </c>
      <c r="B165" s="1" t="s">
        <v>194</v>
      </c>
      <c r="C165" s="1" t="s">
        <v>195</v>
      </c>
      <c r="D165" s="2" t="s">
        <v>245</v>
      </c>
      <c r="E165" s="3" t="s">
        <v>582</v>
      </c>
      <c r="F165" s="3" t="s">
        <v>583</v>
      </c>
      <c r="G165" s="2" t="s">
        <v>245</v>
      </c>
      <c r="H165" s="1" t="s">
        <v>248</v>
      </c>
      <c r="I165" s="1" t="s">
        <v>249</v>
      </c>
      <c r="J165" s="2" t="s">
        <v>41</v>
      </c>
      <c r="K165" s="2">
        <v>21</v>
      </c>
      <c r="L165" s="2" t="s">
        <v>42</v>
      </c>
      <c r="M165" s="1">
        <v>0</v>
      </c>
      <c r="N165" s="1" t="s">
        <v>245</v>
      </c>
      <c r="O165" s="1" t="s">
        <v>248</v>
      </c>
      <c r="P165" s="1" t="s">
        <v>249</v>
      </c>
      <c r="Q165" s="2" t="s">
        <v>41</v>
      </c>
      <c r="R165" s="2">
        <v>21</v>
      </c>
      <c r="S165" s="2" t="s">
        <v>42</v>
      </c>
      <c r="T165" s="1">
        <v>0</v>
      </c>
      <c r="U165" s="1" t="s">
        <v>42</v>
      </c>
      <c r="V165" s="1">
        <v>0</v>
      </c>
      <c r="W165" s="11" t="s">
        <v>42</v>
      </c>
      <c r="X165" s="1" t="s">
        <v>43</v>
      </c>
      <c r="Y165" s="1">
        <v>0</v>
      </c>
      <c r="AB165" s="11">
        <f t="shared" si="11"/>
        <v>0</v>
      </c>
      <c r="AC165" s="11">
        <f t="shared" si="12"/>
        <v>0</v>
      </c>
      <c r="AD165" s="17">
        <v>0</v>
      </c>
      <c r="AE165" s="18">
        <f t="shared" si="13"/>
        <v>0</v>
      </c>
      <c r="AF165" s="11" t="str">
        <f t="shared" si="14"/>
        <v>Low</v>
      </c>
      <c r="AG165" s="14"/>
      <c r="AI165" s="22" t="str">
        <f t="shared" si="15"/>
        <v>Release</v>
      </c>
      <c r="AJ165" s="23"/>
    </row>
    <row r="166" spans="1:37" ht="28.8" hidden="1">
      <c r="A166" s="1" t="s">
        <v>244</v>
      </c>
      <c r="B166" s="1" t="s">
        <v>194</v>
      </c>
      <c r="C166" s="1" t="s">
        <v>200</v>
      </c>
      <c r="D166" s="2" t="s">
        <v>106</v>
      </c>
      <c r="E166" s="3" t="s">
        <v>584</v>
      </c>
      <c r="F166" s="3" t="s">
        <v>585</v>
      </c>
      <c r="G166" s="2" t="s">
        <v>106</v>
      </c>
      <c r="H166" s="1" t="s">
        <v>252</v>
      </c>
      <c r="I166" s="1" t="s">
        <v>253</v>
      </c>
      <c r="J166" s="2" t="s">
        <v>41</v>
      </c>
      <c r="K166" s="2">
        <v>23</v>
      </c>
      <c r="L166" s="2" t="s">
        <v>42</v>
      </c>
      <c r="M166" s="1">
        <v>0</v>
      </c>
      <c r="N166" s="1" t="s">
        <v>106</v>
      </c>
      <c r="O166" s="1" t="s">
        <v>252</v>
      </c>
      <c r="P166" s="1" t="s">
        <v>253</v>
      </c>
      <c r="Q166" s="2" t="s">
        <v>41</v>
      </c>
      <c r="R166" s="2">
        <v>23</v>
      </c>
      <c r="S166" s="2" t="s">
        <v>42</v>
      </c>
      <c r="T166" s="1">
        <v>0</v>
      </c>
      <c r="U166" s="1" t="s">
        <v>42</v>
      </c>
      <c r="V166" s="1">
        <v>0</v>
      </c>
      <c r="W166" s="11" t="s">
        <v>42</v>
      </c>
      <c r="X166" s="1" t="s">
        <v>43</v>
      </c>
      <c r="Y166" s="1">
        <v>0</v>
      </c>
      <c r="AB166" s="11">
        <f t="shared" si="11"/>
        <v>0</v>
      </c>
      <c r="AC166" s="11">
        <f t="shared" si="12"/>
        <v>0</v>
      </c>
      <c r="AD166" s="17">
        <v>0</v>
      </c>
      <c r="AE166" s="18">
        <f t="shared" si="13"/>
        <v>0</v>
      </c>
      <c r="AF166" s="11" t="str">
        <f t="shared" si="14"/>
        <v>Low</v>
      </c>
      <c r="AG166" s="14"/>
      <c r="AI166" s="22" t="str">
        <f t="shared" si="15"/>
        <v>Release</v>
      </c>
      <c r="AJ166" s="23"/>
    </row>
    <row r="167" spans="1:37" ht="28.8" hidden="1">
      <c r="A167" s="1" t="s">
        <v>244</v>
      </c>
      <c r="B167" s="1" t="s">
        <v>194</v>
      </c>
      <c r="C167" s="1" t="s">
        <v>195</v>
      </c>
      <c r="D167" s="2" t="s">
        <v>36</v>
      </c>
      <c r="E167" s="3" t="s">
        <v>586</v>
      </c>
      <c r="F167" s="3" t="s">
        <v>587</v>
      </c>
      <c r="G167" s="2" t="s">
        <v>36</v>
      </c>
      <c r="H167" s="1" t="s">
        <v>50</v>
      </c>
      <c r="I167" s="1" t="s">
        <v>51</v>
      </c>
      <c r="J167" s="2" t="s">
        <v>41</v>
      </c>
      <c r="K167" s="2">
        <v>21</v>
      </c>
      <c r="L167" s="2" t="s">
        <v>42</v>
      </c>
      <c r="M167" s="1">
        <v>0</v>
      </c>
      <c r="N167" s="1" t="s">
        <v>36</v>
      </c>
      <c r="O167" s="1" t="s">
        <v>50</v>
      </c>
      <c r="P167" s="1" t="s">
        <v>51</v>
      </c>
      <c r="Q167" s="2" t="s">
        <v>41</v>
      </c>
      <c r="R167" s="2">
        <v>21</v>
      </c>
      <c r="S167" s="2" t="s">
        <v>42</v>
      </c>
      <c r="T167" s="1">
        <v>0</v>
      </c>
      <c r="U167" s="1" t="s">
        <v>42</v>
      </c>
      <c r="V167" s="1">
        <v>0</v>
      </c>
      <c r="W167" s="11" t="s">
        <v>42</v>
      </c>
      <c r="X167" s="1" t="s">
        <v>43</v>
      </c>
      <c r="Y167" s="1">
        <v>0</v>
      </c>
      <c r="AB167" s="11">
        <f t="shared" si="11"/>
        <v>0</v>
      </c>
      <c r="AC167" s="11">
        <f t="shared" si="12"/>
        <v>0</v>
      </c>
      <c r="AD167" s="17">
        <v>0</v>
      </c>
      <c r="AE167" s="18">
        <f t="shared" si="13"/>
        <v>0</v>
      </c>
      <c r="AF167" s="11" t="str">
        <f t="shared" si="14"/>
        <v>Low</v>
      </c>
      <c r="AG167" s="14"/>
      <c r="AI167" s="22" t="str">
        <f t="shared" si="15"/>
        <v>Release</v>
      </c>
      <c r="AJ167" s="23"/>
    </row>
    <row r="168" spans="1:37" ht="57.6" hidden="1">
      <c r="A168" s="1" t="s">
        <v>244</v>
      </c>
      <c r="B168" s="1" t="s">
        <v>194</v>
      </c>
      <c r="C168" s="1" t="s">
        <v>195</v>
      </c>
      <c r="D168" s="2" t="s">
        <v>106</v>
      </c>
      <c r="E168" s="3" t="s">
        <v>588</v>
      </c>
      <c r="F168" s="3" t="s">
        <v>589</v>
      </c>
      <c r="G168" s="2" t="s">
        <v>106</v>
      </c>
      <c r="H168" s="1" t="s">
        <v>127</v>
      </c>
      <c r="I168" s="1" t="s">
        <v>128</v>
      </c>
      <c r="J168" s="2" t="s">
        <v>57</v>
      </c>
      <c r="K168" s="2">
        <v>9</v>
      </c>
      <c r="L168" s="2" t="s">
        <v>43</v>
      </c>
      <c r="M168" s="1">
        <v>75</v>
      </c>
      <c r="N168" s="1" t="s">
        <v>106</v>
      </c>
      <c r="O168" s="1" t="s">
        <v>417</v>
      </c>
      <c r="P168" s="1" t="s">
        <v>418</v>
      </c>
      <c r="Q168" s="2" t="s">
        <v>41</v>
      </c>
      <c r="R168" s="2">
        <v>21</v>
      </c>
      <c r="S168" s="2" t="s">
        <v>42</v>
      </c>
      <c r="T168" s="2">
        <v>0</v>
      </c>
      <c r="U168" s="1" t="s">
        <v>42</v>
      </c>
      <c r="V168" s="1">
        <v>0</v>
      </c>
      <c r="W168" s="11" t="s">
        <v>42</v>
      </c>
      <c r="X168" s="1" t="s">
        <v>42</v>
      </c>
      <c r="Y168" s="1">
        <v>1</v>
      </c>
      <c r="Z168" s="1" t="s">
        <v>58</v>
      </c>
      <c r="AA168" s="3" t="s">
        <v>590</v>
      </c>
      <c r="AB168" s="11">
        <f t="shared" si="11"/>
        <v>12</v>
      </c>
      <c r="AC168" s="11">
        <f t="shared" si="12"/>
        <v>75</v>
      </c>
      <c r="AD168" s="17">
        <v>0.75</v>
      </c>
      <c r="AE168" s="18">
        <f t="shared" si="13"/>
        <v>75</v>
      </c>
      <c r="AF168" s="11" t="str">
        <f t="shared" si="14"/>
        <v>Medium</v>
      </c>
      <c r="AG168" s="14" t="s">
        <v>591</v>
      </c>
      <c r="AH168" s="23" t="s">
        <v>703</v>
      </c>
      <c r="AI168" s="22" t="str">
        <f t="shared" si="15"/>
        <v>Investigate</v>
      </c>
      <c r="AJ168" s="22" t="s">
        <v>61</v>
      </c>
      <c r="AK168" s="3" t="s">
        <v>592</v>
      </c>
    </row>
    <row r="169" spans="1:37" ht="28.8" hidden="1">
      <c r="A169" s="1" t="s">
        <v>267</v>
      </c>
      <c r="B169" s="1" t="s">
        <v>194</v>
      </c>
      <c r="C169" s="1" t="s">
        <v>195</v>
      </c>
      <c r="D169" s="2" t="s">
        <v>142</v>
      </c>
      <c r="E169" s="3" t="s">
        <v>593</v>
      </c>
      <c r="F169" s="3" t="s">
        <v>594</v>
      </c>
      <c r="G169" s="2" t="s">
        <v>142</v>
      </c>
      <c r="H169" s="1" t="s">
        <v>270</v>
      </c>
      <c r="I169" s="1" t="s">
        <v>271</v>
      </c>
      <c r="J169" s="2" t="s">
        <v>57</v>
      </c>
      <c r="K169" s="2">
        <v>9</v>
      </c>
      <c r="L169" s="2" t="s">
        <v>42</v>
      </c>
      <c r="M169" s="1">
        <v>0</v>
      </c>
      <c r="N169" s="1" t="s">
        <v>142</v>
      </c>
      <c r="O169" s="1" t="s">
        <v>270</v>
      </c>
      <c r="P169" s="1" t="s">
        <v>271</v>
      </c>
      <c r="Q169" s="2" t="s">
        <v>57</v>
      </c>
      <c r="R169" s="2">
        <v>9</v>
      </c>
      <c r="S169" s="2" t="s">
        <v>42</v>
      </c>
      <c r="T169" s="1">
        <v>0</v>
      </c>
      <c r="U169" s="1" t="s">
        <v>42</v>
      </c>
      <c r="V169" s="1">
        <v>0</v>
      </c>
      <c r="W169" s="11" t="s">
        <v>42</v>
      </c>
      <c r="X169" s="1" t="s">
        <v>43</v>
      </c>
      <c r="Y169" s="1">
        <v>0</v>
      </c>
      <c r="AB169" s="11">
        <f t="shared" si="11"/>
        <v>0</v>
      </c>
      <c r="AC169" s="11">
        <f t="shared" si="12"/>
        <v>0</v>
      </c>
      <c r="AD169" s="17">
        <v>0</v>
      </c>
      <c r="AE169" s="18">
        <f t="shared" si="13"/>
        <v>0</v>
      </c>
      <c r="AF169" s="11" t="str">
        <f t="shared" si="14"/>
        <v>Low</v>
      </c>
      <c r="AG169" s="14"/>
      <c r="AI169" s="22" t="str">
        <f t="shared" si="15"/>
        <v>Release</v>
      </c>
      <c r="AJ169" s="23"/>
    </row>
    <row r="170" spans="1:37" ht="28.8" hidden="1">
      <c r="A170" s="1" t="s">
        <v>267</v>
      </c>
      <c r="B170" s="1" t="s">
        <v>194</v>
      </c>
      <c r="C170" s="1" t="s">
        <v>200</v>
      </c>
      <c r="D170" s="2" t="s">
        <v>142</v>
      </c>
      <c r="E170" s="3" t="s">
        <v>595</v>
      </c>
      <c r="F170" s="3" t="s">
        <v>596</v>
      </c>
      <c r="G170" s="2" t="s">
        <v>142</v>
      </c>
      <c r="H170" s="1" t="s">
        <v>274</v>
      </c>
      <c r="I170" s="1" t="s">
        <v>275</v>
      </c>
      <c r="J170" s="2" t="s">
        <v>217</v>
      </c>
      <c r="K170" s="2">
        <v>0</v>
      </c>
      <c r="L170" s="2" t="s">
        <v>42</v>
      </c>
      <c r="M170" s="1">
        <v>0</v>
      </c>
      <c r="N170" s="1" t="s">
        <v>142</v>
      </c>
      <c r="O170" s="1" t="s">
        <v>274</v>
      </c>
      <c r="P170" s="1" t="s">
        <v>275</v>
      </c>
      <c r="Q170" s="2" t="s">
        <v>217</v>
      </c>
      <c r="R170" s="2">
        <v>0</v>
      </c>
      <c r="S170" s="2" t="s">
        <v>42</v>
      </c>
      <c r="T170" s="1">
        <v>0</v>
      </c>
      <c r="U170" s="1" t="s">
        <v>42</v>
      </c>
      <c r="V170" s="1">
        <v>0</v>
      </c>
      <c r="W170" s="11" t="s">
        <v>42</v>
      </c>
      <c r="X170" s="1" t="s">
        <v>43</v>
      </c>
      <c r="Y170" s="1">
        <v>0</v>
      </c>
      <c r="AB170" s="11">
        <f t="shared" si="11"/>
        <v>0</v>
      </c>
      <c r="AC170" s="11">
        <f t="shared" si="12"/>
        <v>0</v>
      </c>
      <c r="AD170" s="17">
        <v>0</v>
      </c>
      <c r="AE170" s="18">
        <f t="shared" si="13"/>
        <v>0</v>
      </c>
      <c r="AF170" s="11" t="str">
        <f t="shared" si="14"/>
        <v>Low</v>
      </c>
      <c r="AG170" s="14"/>
      <c r="AI170" s="22" t="str">
        <f t="shared" si="15"/>
        <v>Release</v>
      </c>
      <c r="AJ170" s="23"/>
    </row>
    <row r="171" spans="1:37" ht="28.8" hidden="1">
      <c r="A171" s="1" t="s">
        <v>267</v>
      </c>
      <c r="B171" s="1" t="s">
        <v>194</v>
      </c>
      <c r="C171" s="1" t="s">
        <v>195</v>
      </c>
      <c r="D171" s="2" t="s">
        <v>133</v>
      </c>
      <c r="E171" s="3" t="s">
        <v>597</v>
      </c>
      <c r="F171" s="3" t="s">
        <v>598</v>
      </c>
      <c r="G171" s="2" t="s">
        <v>133</v>
      </c>
      <c r="H171" s="1" t="s">
        <v>278</v>
      </c>
      <c r="I171" s="1" t="s">
        <v>279</v>
      </c>
      <c r="J171" s="2" t="s">
        <v>57</v>
      </c>
      <c r="K171" s="2">
        <v>9</v>
      </c>
      <c r="L171" s="2" t="s">
        <v>42</v>
      </c>
      <c r="M171" s="1">
        <v>0</v>
      </c>
      <c r="N171" s="1" t="s">
        <v>133</v>
      </c>
      <c r="O171" s="1" t="s">
        <v>278</v>
      </c>
      <c r="P171" s="1" t="s">
        <v>279</v>
      </c>
      <c r="Q171" s="2" t="s">
        <v>57</v>
      </c>
      <c r="R171" s="2">
        <v>9</v>
      </c>
      <c r="S171" s="2" t="s">
        <v>42</v>
      </c>
      <c r="T171" s="1">
        <v>0</v>
      </c>
      <c r="U171" s="1" t="s">
        <v>42</v>
      </c>
      <c r="V171" s="1">
        <v>0</v>
      </c>
      <c r="W171" s="11" t="s">
        <v>42</v>
      </c>
      <c r="X171" s="1" t="s">
        <v>43</v>
      </c>
      <c r="Y171" s="1">
        <v>0</v>
      </c>
      <c r="AB171" s="11">
        <f t="shared" si="11"/>
        <v>0</v>
      </c>
      <c r="AC171" s="11">
        <f t="shared" si="12"/>
        <v>0</v>
      </c>
      <c r="AD171" s="17">
        <v>0</v>
      </c>
      <c r="AE171" s="18">
        <f t="shared" si="13"/>
        <v>0</v>
      </c>
      <c r="AF171" s="11" t="str">
        <f t="shared" si="14"/>
        <v>Low</v>
      </c>
      <c r="AG171" s="14"/>
      <c r="AI171" s="22" t="str">
        <f t="shared" si="15"/>
        <v>Release</v>
      </c>
      <c r="AJ171" s="23"/>
    </row>
    <row r="172" spans="1:37" ht="57.6" hidden="1">
      <c r="A172" s="1" t="s">
        <v>267</v>
      </c>
      <c r="B172" s="1" t="s">
        <v>194</v>
      </c>
      <c r="C172" s="1" t="s">
        <v>200</v>
      </c>
      <c r="D172" s="2" t="s">
        <v>142</v>
      </c>
      <c r="E172" s="3" t="s">
        <v>599</v>
      </c>
      <c r="F172" s="3" t="s">
        <v>600</v>
      </c>
      <c r="G172" s="2" t="s">
        <v>142</v>
      </c>
      <c r="H172" s="1" t="s">
        <v>601</v>
      </c>
      <c r="I172" s="1" t="s">
        <v>602</v>
      </c>
      <c r="J172" s="2" t="s">
        <v>217</v>
      </c>
      <c r="K172" s="2">
        <v>0</v>
      </c>
      <c r="L172" s="2" t="s">
        <v>43</v>
      </c>
      <c r="M172" s="1">
        <v>25</v>
      </c>
      <c r="N172" s="1" t="s">
        <v>142</v>
      </c>
      <c r="O172" s="1" t="s">
        <v>603</v>
      </c>
      <c r="P172" s="1" t="s">
        <v>604</v>
      </c>
      <c r="Q172" s="2" t="s">
        <v>41</v>
      </c>
      <c r="R172" s="2">
        <v>23</v>
      </c>
      <c r="S172" s="2" t="s">
        <v>42</v>
      </c>
      <c r="T172" s="2">
        <v>0</v>
      </c>
      <c r="U172" s="1" t="s">
        <v>42</v>
      </c>
      <c r="V172" s="1">
        <v>0</v>
      </c>
      <c r="W172" s="11" t="s">
        <v>42</v>
      </c>
      <c r="X172" s="1" t="s">
        <v>42</v>
      </c>
      <c r="Y172" s="1">
        <v>1</v>
      </c>
      <c r="Z172" s="1" t="s">
        <v>58</v>
      </c>
      <c r="AA172" s="3" t="s">
        <v>605</v>
      </c>
      <c r="AB172" s="11">
        <f t="shared" si="11"/>
        <v>23</v>
      </c>
      <c r="AC172" s="11">
        <f t="shared" si="12"/>
        <v>25</v>
      </c>
      <c r="AD172" s="17">
        <v>0.75</v>
      </c>
      <c r="AE172" s="18">
        <f t="shared" si="13"/>
        <v>25</v>
      </c>
      <c r="AF172" s="11" t="str">
        <f t="shared" si="14"/>
        <v>Low</v>
      </c>
      <c r="AG172" s="14" t="s">
        <v>606</v>
      </c>
      <c r="AH172" s="23" t="s">
        <v>703</v>
      </c>
      <c r="AI172" s="22" t="str">
        <f t="shared" si="15"/>
        <v>Release</v>
      </c>
      <c r="AJ172" s="22" t="s">
        <v>322</v>
      </c>
      <c r="AK172" s="3" t="s">
        <v>607</v>
      </c>
    </row>
    <row r="173" spans="1:37" ht="28.8" hidden="1">
      <c r="A173" s="1" t="s">
        <v>267</v>
      </c>
      <c r="B173" s="1" t="s">
        <v>194</v>
      </c>
      <c r="C173" s="1" t="s">
        <v>200</v>
      </c>
      <c r="D173" s="2" t="s">
        <v>142</v>
      </c>
      <c r="E173" s="3" t="s">
        <v>608</v>
      </c>
      <c r="F173" s="3" t="s">
        <v>609</v>
      </c>
      <c r="G173" s="2" t="s">
        <v>142</v>
      </c>
      <c r="H173" s="1" t="s">
        <v>270</v>
      </c>
      <c r="I173" s="1" t="s">
        <v>271</v>
      </c>
      <c r="J173" s="2" t="s">
        <v>217</v>
      </c>
      <c r="K173" s="2">
        <v>0</v>
      </c>
      <c r="L173" s="2" t="s">
        <v>42</v>
      </c>
      <c r="M173" s="1">
        <v>0</v>
      </c>
      <c r="N173" s="1" t="s">
        <v>142</v>
      </c>
      <c r="O173" s="1" t="s">
        <v>270</v>
      </c>
      <c r="P173" s="1" t="s">
        <v>271</v>
      </c>
      <c r="Q173" s="2" t="s">
        <v>217</v>
      </c>
      <c r="R173" s="2">
        <v>0</v>
      </c>
      <c r="S173" s="2" t="s">
        <v>42</v>
      </c>
      <c r="T173" s="1">
        <v>0</v>
      </c>
      <c r="U173" s="1" t="s">
        <v>42</v>
      </c>
      <c r="V173" s="1">
        <v>0</v>
      </c>
      <c r="W173" s="11" t="s">
        <v>42</v>
      </c>
      <c r="X173" s="1" t="s">
        <v>43</v>
      </c>
      <c r="Y173" s="1">
        <v>0</v>
      </c>
      <c r="AB173" s="11">
        <f t="shared" si="11"/>
        <v>0</v>
      </c>
      <c r="AC173" s="11">
        <f t="shared" si="12"/>
        <v>0</v>
      </c>
      <c r="AD173" s="17">
        <v>0</v>
      </c>
      <c r="AE173" s="18">
        <f t="shared" si="13"/>
        <v>0</v>
      </c>
      <c r="AF173" s="11" t="str">
        <f t="shared" si="14"/>
        <v>Low</v>
      </c>
      <c r="AG173" s="14"/>
      <c r="AI173" s="22" t="str">
        <f t="shared" si="15"/>
        <v>Release</v>
      </c>
      <c r="AJ173" s="23"/>
    </row>
    <row r="174" spans="1:37" ht="28.8" hidden="1">
      <c r="A174" s="1" t="s">
        <v>267</v>
      </c>
      <c r="B174" s="1" t="s">
        <v>194</v>
      </c>
      <c r="C174" s="1" t="s">
        <v>195</v>
      </c>
      <c r="D174" s="2" t="s">
        <v>142</v>
      </c>
      <c r="E174" s="3" t="s">
        <v>610</v>
      </c>
      <c r="F174" s="3" t="s">
        <v>611</v>
      </c>
      <c r="G174" s="2" t="s">
        <v>142</v>
      </c>
      <c r="H174" s="1" t="s">
        <v>274</v>
      </c>
      <c r="I174" s="1" t="s">
        <v>275</v>
      </c>
      <c r="J174" s="2" t="s">
        <v>57</v>
      </c>
      <c r="K174" s="2">
        <v>9</v>
      </c>
      <c r="L174" s="2" t="s">
        <v>42</v>
      </c>
      <c r="M174" s="1">
        <v>0</v>
      </c>
      <c r="N174" s="1" t="s">
        <v>142</v>
      </c>
      <c r="O174" s="1" t="s">
        <v>274</v>
      </c>
      <c r="P174" s="1" t="s">
        <v>275</v>
      </c>
      <c r="Q174" s="2" t="s">
        <v>57</v>
      </c>
      <c r="R174" s="2">
        <v>9</v>
      </c>
      <c r="S174" s="2" t="s">
        <v>42</v>
      </c>
      <c r="T174" s="1">
        <v>0</v>
      </c>
      <c r="U174" s="1" t="s">
        <v>42</v>
      </c>
      <c r="V174" s="1">
        <v>0</v>
      </c>
      <c r="W174" s="11" t="s">
        <v>42</v>
      </c>
      <c r="X174" s="1" t="s">
        <v>43</v>
      </c>
      <c r="Y174" s="1">
        <v>0</v>
      </c>
      <c r="AB174" s="11">
        <f t="shared" si="11"/>
        <v>0</v>
      </c>
      <c r="AC174" s="11">
        <f t="shared" si="12"/>
        <v>0</v>
      </c>
      <c r="AD174" s="17">
        <v>0</v>
      </c>
      <c r="AE174" s="18">
        <f t="shared" si="13"/>
        <v>0</v>
      </c>
      <c r="AF174" s="11" t="str">
        <f t="shared" si="14"/>
        <v>Low</v>
      </c>
      <c r="AG174" s="14"/>
      <c r="AI174" s="22" t="str">
        <f t="shared" si="15"/>
        <v>Release</v>
      </c>
      <c r="AJ174" s="23"/>
    </row>
    <row r="175" spans="1:37" ht="28.8" hidden="1">
      <c r="A175" s="1" t="s">
        <v>267</v>
      </c>
      <c r="B175" s="1" t="s">
        <v>194</v>
      </c>
      <c r="C175" s="1" t="s">
        <v>200</v>
      </c>
      <c r="D175" s="2" t="s">
        <v>133</v>
      </c>
      <c r="E175" s="3" t="s">
        <v>612</v>
      </c>
      <c r="F175" s="3" t="s">
        <v>613</v>
      </c>
      <c r="G175" s="2" t="s">
        <v>133</v>
      </c>
      <c r="H175" s="1" t="s">
        <v>278</v>
      </c>
      <c r="I175" s="1" t="s">
        <v>279</v>
      </c>
      <c r="J175" s="2" t="s">
        <v>217</v>
      </c>
      <c r="K175" s="2">
        <v>0</v>
      </c>
      <c r="L175" s="2" t="s">
        <v>42</v>
      </c>
      <c r="M175" s="1">
        <v>0</v>
      </c>
      <c r="N175" s="1" t="s">
        <v>133</v>
      </c>
      <c r="O175" s="1" t="s">
        <v>278</v>
      </c>
      <c r="P175" s="1" t="s">
        <v>279</v>
      </c>
      <c r="Q175" s="2" t="s">
        <v>217</v>
      </c>
      <c r="R175" s="2">
        <v>0</v>
      </c>
      <c r="S175" s="2" t="s">
        <v>42</v>
      </c>
      <c r="T175" s="1">
        <v>0</v>
      </c>
      <c r="U175" s="1" t="s">
        <v>42</v>
      </c>
      <c r="V175" s="1">
        <v>0</v>
      </c>
      <c r="W175" s="11" t="s">
        <v>42</v>
      </c>
      <c r="X175" s="1" t="s">
        <v>43</v>
      </c>
      <c r="Y175" s="1">
        <v>0</v>
      </c>
      <c r="AB175" s="11">
        <f t="shared" si="11"/>
        <v>0</v>
      </c>
      <c r="AC175" s="11">
        <f t="shared" si="12"/>
        <v>0</v>
      </c>
      <c r="AD175" s="17">
        <v>0</v>
      </c>
      <c r="AE175" s="18">
        <f t="shared" si="13"/>
        <v>0</v>
      </c>
      <c r="AF175" s="11" t="str">
        <f t="shared" si="14"/>
        <v>Low</v>
      </c>
      <c r="AG175" s="14"/>
      <c r="AI175" s="22" t="str">
        <f t="shared" si="15"/>
        <v>Release</v>
      </c>
      <c r="AJ175" s="23"/>
    </row>
    <row r="176" spans="1:37" ht="43.2" hidden="1">
      <c r="A176" s="1" t="s">
        <v>267</v>
      </c>
      <c r="B176" s="1" t="s">
        <v>194</v>
      </c>
      <c r="C176" s="1" t="s">
        <v>195</v>
      </c>
      <c r="D176" s="2" t="s">
        <v>142</v>
      </c>
      <c r="E176" s="3" t="s">
        <v>614</v>
      </c>
      <c r="F176" s="3" t="s">
        <v>615</v>
      </c>
      <c r="G176" s="2" t="s">
        <v>142</v>
      </c>
      <c r="H176" s="1" t="s">
        <v>270</v>
      </c>
      <c r="I176" s="1" t="s">
        <v>271</v>
      </c>
      <c r="J176" s="2" t="s">
        <v>57</v>
      </c>
      <c r="K176" s="2">
        <v>9</v>
      </c>
      <c r="L176" s="2" t="s">
        <v>42</v>
      </c>
      <c r="M176" s="9">
        <v>15</v>
      </c>
      <c r="N176" s="1" t="s">
        <v>142</v>
      </c>
      <c r="O176" s="1" t="s">
        <v>270</v>
      </c>
      <c r="P176" s="1" t="s">
        <v>271</v>
      </c>
      <c r="Q176" s="2" t="s">
        <v>57</v>
      </c>
      <c r="R176" s="2">
        <v>9</v>
      </c>
      <c r="S176" s="2" t="s">
        <v>43</v>
      </c>
      <c r="T176" s="9">
        <v>60</v>
      </c>
      <c r="U176" s="1" t="s">
        <v>42</v>
      </c>
      <c r="V176" s="1">
        <v>0</v>
      </c>
      <c r="W176" s="11" t="s">
        <v>42</v>
      </c>
      <c r="X176" s="1" t="s">
        <v>43</v>
      </c>
      <c r="Y176" s="1">
        <v>1</v>
      </c>
      <c r="Z176" s="1" t="s">
        <v>71</v>
      </c>
      <c r="AA176" s="3" t="s">
        <v>616</v>
      </c>
      <c r="AB176" s="11">
        <f t="shared" si="11"/>
        <v>0</v>
      </c>
      <c r="AC176" s="11">
        <f t="shared" si="12"/>
        <v>60</v>
      </c>
      <c r="AD176" s="17">
        <v>0.44</v>
      </c>
      <c r="AE176" s="18">
        <f t="shared" si="13"/>
        <v>60</v>
      </c>
      <c r="AF176" s="11" t="str">
        <f t="shared" si="14"/>
        <v>Medium</v>
      </c>
      <c r="AG176" s="14" t="s">
        <v>617</v>
      </c>
      <c r="AH176" s="22" t="s">
        <v>696</v>
      </c>
      <c r="AI176" s="22" t="str">
        <f t="shared" si="15"/>
        <v>Investigate</v>
      </c>
      <c r="AJ176" s="22" t="s">
        <v>702</v>
      </c>
      <c r="AK176" s="3" t="s">
        <v>618</v>
      </c>
    </row>
    <row r="177" spans="1:37" ht="28.8" hidden="1">
      <c r="A177" s="1" t="s">
        <v>267</v>
      </c>
      <c r="B177" s="1" t="s">
        <v>194</v>
      </c>
      <c r="C177" s="1" t="s">
        <v>195</v>
      </c>
      <c r="D177" s="2" t="s">
        <v>142</v>
      </c>
      <c r="E177" s="3" t="s">
        <v>619</v>
      </c>
      <c r="F177" s="3" t="s">
        <v>620</v>
      </c>
      <c r="G177" s="2" t="s">
        <v>142</v>
      </c>
      <c r="H177" s="1" t="s">
        <v>274</v>
      </c>
      <c r="I177" s="1" t="s">
        <v>275</v>
      </c>
      <c r="J177" s="2" t="s">
        <v>57</v>
      </c>
      <c r="K177" s="2">
        <v>9</v>
      </c>
      <c r="L177" s="2" t="s">
        <v>42</v>
      </c>
      <c r="M177" s="1">
        <v>0</v>
      </c>
      <c r="N177" s="1" t="s">
        <v>142</v>
      </c>
      <c r="O177" s="1" t="s">
        <v>274</v>
      </c>
      <c r="P177" s="1" t="s">
        <v>275</v>
      </c>
      <c r="Q177" s="2" t="s">
        <v>57</v>
      </c>
      <c r="R177" s="2">
        <v>9</v>
      </c>
      <c r="S177" s="2" t="s">
        <v>42</v>
      </c>
      <c r="T177" s="1">
        <v>0</v>
      </c>
      <c r="U177" s="1" t="s">
        <v>42</v>
      </c>
      <c r="V177" s="1">
        <v>0</v>
      </c>
      <c r="W177" s="11" t="s">
        <v>42</v>
      </c>
      <c r="X177" s="1" t="s">
        <v>43</v>
      </c>
      <c r="Y177" s="1">
        <v>0</v>
      </c>
      <c r="AB177" s="11">
        <f t="shared" si="11"/>
        <v>0</v>
      </c>
      <c r="AC177" s="11">
        <f t="shared" si="12"/>
        <v>0</v>
      </c>
      <c r="AD177" s="17">
        <v>0</v>
      </c>
      <c r="AE177" s="18">
        <f t="shared" si="13"/>
        <v>0</v>
      </c>
      <c r="AF177" s="11" t="str">
        <f t="shared" si="14"/>
        <v>Low</v>
      </c>
      <c r="AG177" s="14"/>
      <c r="AI177" s="22" t="str">
        <f t="shared" si="15"/>
        <v>Release</v>
      </c>
      <c r="AJ177" s="23"/>
    </row>
    <row r="178" spans="1:37" ht="28.8" hidden="1">
      <c r="A178" s="1" t="s">
        <v>267</v>
      </c>
      <c r="B178" s="1" t="s">
        <v>194</v>
      </c>
      <c r="C178" s="1" t="s">
        <v>200</v>
      </c>
      <c r="D178" s="2" t="s">
        <v>142</v>
      </c>
      <c r="E178" s="3" t="s">
        <v>621</v>
      </c>
      <c r="F178" s="3" t="s">
        <v>622</v>
      </c>
      <c r="G178" s="2" t="s">
        <v>142</v>
      </c>
      <c r="H178" s="1" t="s">
        <v>270</v>
      </c>
      <c r="I178" s="1" t="s">
        <v>271</v>
      </c>
      <c r="J178" s="2" t="s">
        <v>217</v>
      </c>
      <c r="K178" s="2">
        <v>0</v>
      </c>
      <c r="L178" s="2" t="s">
        <v>42</v>
      </c>
      <c r="M178" s="1">
        <v>0</v>
      </c>
      <c r="N178" s="1" t="s">
        <v>142</v>
      </c>
      <c r="O178" s="1" t="s">
        <v>270</v>
      </c>
      <c r="P178" s="1" t="s">
        <v>271</v>
      </c>
      <c r="Q178" s="2" t="s">
        <v>217</v>
      </c>
      <c r="R178" s="2">
        <v>0</v>
      </c>
      <c r="S178" s="2" t="s">
        <v>42</v>
      </c>
      <c r="T178" s="1">
        <v>0</v>
      </c>
      <c r="U178" s="1" t="s">
        <v>42</v>
      </c>
      <c r="V178" s="1">
        <v>0</v>
      </c>
      <c r="W178" s="11" t="s">
        <v>42</v>
      </c>
      <c r="X178" s="1" t="s">
        <v>43</v>
      </c>
      <c r="Y178" s="1">
        <v>0</v>
      </c>
      <c r="AB178" s="11">
        <f t="shared" si="11"/>
        <v>0</v>
      </c>
      <c r="AC178" s="11">
        <f t="shared" si="12"/>
        <v>0</v>
      </c>
      <c r="AD178" s="17">
        <v>0</v>
      </c>
      <c r="AE178" s="18">
        <f t="shared" si="13"/>
        <v>0</v>
      </c>
      <c r="AF178" s="11" t="str">
        <f t="shared" si="14"/>
        <v>Low</v>
      </c>
      <c r="AG178" s="14"/>
      <c r="AI178" s="22" t="str">
        <f t="shared" si="15"/>
        <v>Release</v>
      </c>
      <c r="AJ178" s="23"/>
    </row>
    <row r="179" spans="1:37" ht="28.8" hidden="1">
      <c r="A179" s="1" t="s">
        <v>267</v>
      </c>
      <c r="B179" s="1" t="s">
        <v>194</v>
      </c>
      <c r="C179" s="1" t="s">
        <v>195</v>
      </c>
      <c r="D179" s="2" t="s">
        <v>133</v>
      </c>
      <c r="E179" s="3" t="s">
        <v>623</v>
      </c>
      <c r="F179" s="3" t="s">
        <v>624</v>
      </c>
      <c r="G179" s="2" t="s">
        <v>133</v>
      </c>
      <c r="H179" s="1" t="s">
        <v>278</v>
      </c>
      <c r="I179" s="1" t="s">
        <v>279</v>
      </c>
      <c r="J179" s="2" t="s">
        <v>57</v>
      </c>
      <c r="K179" s="2">
        <v>9</v>
      </c>
      <c r="L179" s="2" t="s">
        <v>42</v>
      </c>
      <c r="M179" s="1">
        <v>0</v>
      </c>
      <c r="N179" s="1" t="s">
        <v>133</v>
      </c>
      <c r="O179" s="1" t="s">
        <v>278</v>
      </c>
      <c r="P179" s="1" t="s">
        <v>279</v>
      </c>
      <c r="Q179" s="2" t="s">
        <v>57</v>
      </c>
      <c r="R179" s="2">
        <v>9</v>
      </c>
      <c r="S179" s="2" t="s">
        <v>42</v>
      </c>
      <c r="T179" s="1">
        <v>0</v>
      </c>
      <c r="U179" s="1" t="s">
        <v>42</v>
      </c>
      <c r="V179" s="1">
        <v>0</v>
      </c>
      <c r="W179" s="11" t="s">
        <v>42</v>
      </c>
      <c r="X179" s="1" t="s">
        <v>43</v>
      </c>
      <c r="Y179" s="1">
        <v>0</v>
      </c>
      <c r="AB179" s="11">
        <f t="shared" si="11"/>
        <v>0</v>
      </c>
      <c r="AC179" s="11">
        <f t="shared" si="12"/>
        <v>0</v>
      </c>
      <c r="AD179" s="17">
        <v>0</v>
      </c>
      <c r="AE179" s="18">
        <f t="shared" si="13"/>
        <v>0</v>
      </c>
      <c r="AF179" s="11" t="str">
        <f t="shared" si="14"/>
        <v>Low</v>
      </c>
      <c r="AG179" s="14"/>
      <c r="AI179" s="22" t="str">
        <f t="shared" si="15"/>
        <v>Release</v>
      </c>
      <c r="AJ179" s="23"/>
    </row>
    <row r="180" spans="1:37" ht="57.6" hidden="1">
      <c r="A180" s="1" t="s">
        <v>267</v>
      </c>
      <c r="B180" s="1" t="s">
        <v>194</v>
      </c>
      <c r="C180" s="1" t="s">
        <v>195</v>
      </c>
      <c r="D180" s="2" t="s">
        <v>142</v>
      </c>
      <c r="E180" s="3" t="s">
        <v>625</v>
      </c>
      <c r="F180" s="3" t="s">
        <v>626</v>
      </c>
      <c r="G180" s="2" t="s">
        <v>142</v>
      </c>
      <c r="H180" s="1" t="s">
        <v>270</v>
      </c>
      <c r="I180" s="1" t="s">
        <v>271</v>
      </c>
      <c r="J180" s="2" t="s">
        <v>57</v>
      </c>
      <c r="K180" s="2">
        <v>9</v>
      </c>
      <c r="L180" s="2" t="s">
        <v>43</v>
      </c>
      <c r="M180" s="1">
        <v>75</v>
      </c>
      <c r="N180" s="1" t="s">
        <v>142</v>
      </c>
      <c r="O180" s="1" t="s">
        <v>627</v>
      </c>
      <c r="P180" s="1" t="s">
        <v>628</v>
      </c>
      <c r="Q180" s="2" t="s">
        <v>41</v>
      </c>
      <c r="R180" s="2">
        <v>21</v>
      </c>
      <c r="S180" s="2" t="s">
        <v>42</v>
      </c>
      <c r="T180" s="2">
        <v>0</v>
      </c>
      <c r="U180" s="1" t="s">
        <v>42</v>
      </c>
      <c r="V180" s="1">
        <v>0</v>
      </c>
      <c r="W180" s="11" t="s">
        <v>42</v>
      </c>
      <c r="X180" s="1" t="s">
        <v>42</v>
      </c>
      <c r="Y180" s="1">
        <v>1</v>
      </c>
      <c r="Z180" s="1" t="s">
        <v>58</v>
      </c>
      <c r="AA180" s="3" t="s">
        <v>629</v>
      </c>
      <c r="AB180" s="11">
        <f t="shared" si="11"/>
        <v>12</v>
      </c>
      <c r="AC180" s="11">
        <f t="shared" si="12"/>
        <v>75</v>
      </c>
      <c r="AD180" s="17">
        <v>0.75</v>
      </c>
      <c r="AE180" s="18">
        <f t="shared" si="13"/>
        <v>75</v>
      </c>
      <c r="AF180" s="11" t="str">
        <f t="shared" si="14"/>
        <v>Medium</v>
      </c>
      <c r="AG180" s="14" t="s">
        <v>630</v>
      </c>
      <c r="AH180" s="23" t="s">
        <v>703</v>
      </c>
      <c r="AI180" s="22" t="str">
        <f t="shared" si="15"/>
        <v>Investigate</v>
      </c>
      <c r="AJ180" s="22" t="s">
        <v>61</v>
      </c>
      <c r="AK180" s="3" t="s">
        <v>631</v>
      </c>
    </row>
    <row r="181" spans="1:37" ht="28.8" hidden="1">
      <c r="A181" s="1" t="s">
        <v>291</v>
      </c>
      <c r="B181" s="1" t="s">
        <v>194</v>
      </c>
      <c r="C181" s="1" t="s">
        <v>195</v>
      </c>
      <c r="D181" s="2" t="s">
        <v>294</v>
      </c>
      <c r="E181" s="3" t="s">
        <v>632</v>
      </c>
      <c r="F181" s="3" t="s">
        <v>633</v>
      </c>
      <c r="G181" s="2" t="s">
        <v>294</v>
      </c>
      <c r="H181" s="1" t="s">
        <v>297</v>
      </c>
      <c r="I181" s="1" t="s">
        <v>298</v>
      </c>
      <c r="J181" s="2" t="s">
        <v>57</v>
      </c>
      <c r="K181" s="2">
        <v>9</v>
      </c>
      <c r="L181" s="2" t="s">
        <v>42</v>
      </c>
      <c r="M181" s="1">
        <v>0</v>
      </c>
      <c r="N181" s="1" t="s">
        <v>294</v>
      </c>
      <c r="O181" s="1" t="s">
        <v>297</v>
      </c>
      <c r="P181" s="1" t="s">
        <v>298</v>
      </c>
      <c r="Q181" s="2" t="s">
        <v>57</v>
      </c>
      <c r="R181" s="2">
        <v>9</v>
      </c>
      <c r="S181" s="2" t="s">
        <v>42</v>
      </c>
      <c r="T181" s="1">
        <v>0</v>
      </c>
      <c r="U181" s="1" t="s">
        <v>42</v>
      </c>
      <c r="V181" s="1">
        <v>0</v>
      </c>
      <c r="W181" s="11" t="s">
        <v>42</v>
      </c>
      <c r="X181" s="1" t="s">
        <v>43</v>
      </c>
      <c r="Y181" s="1">
        <v>0</v>
      </c>
      <c r="AB181" s="11">
        <f t="shared" si="11"/>
        <v>0</v>
      </c>
      <c r="AC181" s="11">
        <f t="shared" si="12"/>
        <v>0</v>
      </c>
      <c r="AD181" s="17">
        <v>0</v>
      </c>
      <c r="AE181" s="18">
        <f t="shared" si="13"/>
        <v>0</v>
      </c>
      <c r="AF181" s="11" t="str">
        <f t="shared" si="14"/>
        <v>Low</v>
      </c>
      <c r="AG181" s="14"/>
      <c r="AI181" s="22" t="str">
        <f t="shared" si="15"/>
        <v>Release</v>
      </c>
      <c r="AJ181" s="23"/>
    </row>
    <row r="182" spans="1:37" ht="28.8" hidden="1">
      <c r="A182" s="1" t="s">
        <v>291</v>
      </c>
      <c r="B182" s="1" t="s">
        <v>194</v>
      </c>
      <c r="C182" s="1" t="s">
        <v>200</v>
      </c>
      <c r="D182" s="2" t="s">
        <v>165</v>
      </c>
      <c r="E182" s="3" t="s">
        <v>634</v>
      </c>
      <c r="F182" s="3" t="s">
        <v>635</v>
      </c>
      <c r="G182" s="2" t="s">
        <v>165</v>
      </c>
      <c r="H182" s="1" t="s">
        <v>182</v>
      </c>
      <c r="I182" s="1" t="s">
        <v>183</v>
      </c>
      <c r="J182" s="2" t="s">
        <v>217</v>
      </c>
      <c r="K182" s="2">
        <v>0</v>
      </c>
      <c r="L182" s="2" t="s">
        <v>42</v>
      </c>
      <c r="M182" s="1">
        <v>0</v>
      </c>
      <c r="N182" s="1" t="s">
        <v>165</v>
      </c>
      <c r="O182" s="1" t="s">
        <v>182</v>
      </c>
      <c r="P182" s="1" t="s">
        <v>183</v>
      </c>
      <c r="Q182" s="2" t="s">
        <v>217</v>
      </c>
      <c r="R182" s="2">
        <v>0</v>
      </c>
      <c r="S182" s="2" t="s">
        <v>42</v>
      </c>
      <c r="T182" s="1">
        <v>0</v>
      </c>
      <c r="U182" s="1" t="s">
        <v>42</v>
      </c>
      <c r="V182" s="1">
        <v>0</v>
      </c>
      <c r="W182" s="11" t="s">
        <v>42</v>
      </c>
      <c r="X182" s="1" t="s">
        <v>43</v>
      </c>
      <c r="Y182" s="1">
        <v>0</v>
      </c>
      <c r="AB182" s="11">
        <f t="shared" si="11"/>
        <v>0</v>
      </c>
      <c r="AC182" s="11">
        <f t="shared" si="12"/>
        <v>0</v>
      </c>
      <c r="AD182" s="17">
        <v>0</v>
      </c>
      <c r="AE182" s="18">
        <f t="shared" si="13"/>
        <v>0</v>
      </c>
      <c r="AF182" s="11" t="str">
        <f t="shared" si="14"/>
        <v>Low</v>
      </c>
      <c r="AG182" s="14"/>
      <c r="AI182" s="22" t="str">
        <f t="shared" si="15"/>
        <v>Release</v>
      </c>
      <c r="AJ182" s="23"/>
    </row>
    <row r="183" spans="1:37" ht="28.8" hidden="1">
      <c r="A183" s="1" t="s">
        <v>291</v>
      </c>
      <c r="B183" s="1" t="s">
        <v>194</v>
      </c>
      <c r="C183" s="1" t="s">
        <v>195</v>
      </c>
      <c r="D183" s="2" t="s">
        <v>294</v>
      </c>
      <c r="E183" s="3" t="s">
        <v>636</v>
      </c>
      <c r="F183" s="3" t="s">
        <v>637</v>
      </c>
      <c r="G183" s="2" t="s">
        <v>294</v>
      </c>
      <c r="H183" s="1" t="s">
        <v>301</v>
      </c>
      <c r="I183" s="1" t="s">
        <v>302</v>
      </c>
      <c r="J183" s="2" t="s">
        <v>57</v>
      </c>
      <c r="K183" s="2">
        <v>9</v>
      </c>
      <c r="L183" s="2" t="s">
        <v>42</v>
      </c>
      <c r="M183" s="1">
        <v>0</v>
      </c>
      <c r="N183" s="1" t="s">
        <v>294</v>
      </c>
      <c r="O183" s="1" t="s">
        <v>301</v>
      </c>
      <c r="P183" s="1" t="s">
        <v>302</v>
      </c>
      <c r="Q183" s="2" t="s">
        <v>57</v>
      </c>
      <c r="R183" s="2">
        <v>9</v>
      </c>
      <c r="S183" s="2" t="s">
        <v>42</v>
      </c>
      <c r="T183" s="1">
        <v>0</v>
      </c>
      <c r="U183" s="1" t="s">
        <v>42</v>
      </c>
      <c r="V183" s="1">
        <v>0</v>
      </c>
      <c r="W183" s="11" t="s">
        <v>42</v>
      </c>
      <c r="X183" s="1" t="s">
        <v>43</v>
      </c>
      <c r="Y183" s="1">
        <v>0</v>
      </c>
      <c r="AB183" s="11">
        <f t="shared" si="11"/>
        <v>0</v>
      </c>
      <c r="AC183" s="11">
        <f t="shared" si="12"/>
        <v>0</v>
      </c>
      <c r="AD183" s="17">
        <v>0</v>
      </c>
      <c r="AE183" s="18">
        <f t="shared" si="13"/>
        <v>0</v>
      </c>
      <c r="AF183" s="11" t="str">
        <f t="shared" si="14"/>
        <v>Low</v>
      </c>
      <c r="AG183" s="14"/>
      <c r="AI183" s="22" t="str">
        <f t="shared" si="15"/>
        <v>Release</v>
      </c>
      <c r="AJ183" s="23"/>
    </row>
    <row r="184" spans="1:37" ht="43.2">
      <c r="A184" s="1" t="s">
        <v>291</v>
      </c>
      <c r="B184" s="1" t="s">
        <v>194</v>
      </c>
      <c r="C184" s="1" t="s">
        <v>200</v>
      </c>
      <c r="D184" s="2" t="s">
        <v>294</v>
      </c>
      <c r="E184" s="3" t="s">
        <v>638</v>
      </c>
      <c r="F184" s="3" t="s">
        <v>639</v>
      </c>
      <c r="G184" s="2" t="s">
        <v>294</v>
      </c>
      <c r="H184" s="1" t="s">
        <v>297</v>
      </c>
      <c r="I184" s="1" t="s">
        <v>298</v>
      </c>
      <c r="J184" s="2" t="s">
        <v>217</v>
      </c>
      <c r="K184" s="2">
        <v>0</v>
      </c>
      <c r="L184" s="2" t="s">
        <v>42</v>
      </c>
      <c r="M184" s="1">
        <v>0</v>
      </c>
      <c r="N184" s="1" t="s">
        <v>294</v>
      </c>
      <c r="O184" s="1" t="s">
        <v>297</v>
      </c>
      <c r="P184" s="1" t="s">
        <v>298</v>
      </c>
      <c r="Q184" s="2" t="s">
        <v>217</v>
      </c>
      <c r="R184" s="2">
        <v>0</v>
      </c>
      <c r="S184" s="2" t="s">
        <v>42</v>
      </c>
      <c r="T184" s="1">
        <v>0</v>
      </c>
      <c r="U184" s="1" t="s">
        <v>43</v>
      </c>
      <c r="V184" s="1">
        <v>40</v>
      </c>
      <c r="W184" s="11" t="s">
        <v>43</v>
      </c>
      <c r="X184" s="1" t="s">
        <v>43</v>
      </c>
      <c r="Y184" s="1">
        <v>1</v>
      </c>
      <c r="Z184" s="1" t="s">
        <v>91</v>
      </c>
      <c r="AA184" s="3" t="s">
        <v>640</v>
      </c>
      <c r="AB184" s="11">
        <f t="shared" si="11"/>
        <v>0</v>
      </c>
      <c r="AC184" s="11">
        <f t="shared" si="12"/>
        <v>40</v>
      </c>
      <c r="AD184" s="17">
        <v>0.28000000000000003</v>
      </c>
      <c r="AE184" s="18">
        <f t="shared" si="13"/>
        <v>40</v>
      </c>
      <c r="AF184" s="11" t="str">
        <f t="shared" si="14"/>
        <v>Medium</v>
      </c>
      <c r="AG184" s="14" t="s">
        <v>385</v>
      </c>
      <c r="AH184" s="22" t="s">
        <v>696</v>
      </c>
      <c r="AI184" s="22" t="str">
        <f t="shared" si="15"/>
        <v>Investigate</v>
      </c>
      <c r="AJ184" s="22" t="s">
        <v>702</v>
      </c>
      <c r="AK184" s="3" t="s">
        <v>641</v>
      </c>
    </row>
    <row r="185" spans="1:37" ht="28.8" hidden="1">
      <c r="A185" s="1" t="s">
        <v>291</v>
      </c>
      <c r="B185" s="1" t="s">
        <v>194</v>
      </c>
      <c r="C185" s="1" t="s">
        <v>195</v>
      </c>
      <c r="D185" s="2" t="s">
        <v>165</v>
      </c>
      <c r="E185" s="3" t="s">
        <v>642</v>
      </c>
      <c r="F185" s="3" t="s">
        <v>643</v>
      </c>
      <c r="G185" s="2" t="s">
        <v>165</v>
      </c>
      <c r="H185" s="1" t="s">
        <v>182</v>
      </c>
      <c r="I185" s="1" t="s">
        <v>183</v>
      </c>
      <c r="J185" s="2" t="s">
        <v>57</v>
      </c>
      <c r="K185" s="2">
        <v>9</v>
      </c>
      <c r="L185" s="2" t="s">
        <v>42</v>
      </c>
      <c r="M185" s="1">
        <v>0</v>
      </c>
      <c r="N185" s="1" t="s">
        <v>165</v>
      </c>
      <c r="O185" s="1" t="s">
        <v>182</v>
      </c>
      <c r="P185" s="1" t="s">
        <v>183</v>
      </c>
      <c r="Q185" s="2" t="s">
        <v>57</v>
      </c>
      <c r="R185" s="2">
        <v>9</v>
      </c>
      <c r="S185" s="2" t="s">
        <v>42</v>
      </c>
      <c r="T185" s="1">
        <v>0</v>
      </c>
      <c r="U185" s="1" t="s">
        <v>42</v>
      </c>
      <c r="V185" s="1">
        <v>0</v>
      </c>
      <c r="W185" s="11" t="s">
        <v>42</v>
      </c>
      <c r="X185" s="1" t="s">
        <v>43</v>
      </c>
      <c r="Y185" s="1">
        <v>0</v>
      </c>
      <c r="AB185" s="11">
        <f t="shared" si="11"/>
        <v>0</v>
      </c>
      <c r="AC185" s="11">
        <f t="shared" si="12"/>
        <v>0</v>
      </c>
      <c r="AD185" s="17">
        <v>0</v>
      </c>
      <c r="AE185" s="18">
        <f t="shared" si="13"/>
        <v>0</v>
      </c>
      <c r="AF185" s="11" t="str">
        <f t="shared" si="14"/>
        <v>Low</v>
      </c>
      <c r="AG185" s="14"/>
      <c r="AI185" s="22" t="str">
        <f t="shared" si="15"/>
        <v>Release</v>
      </c>
      <c r="AJ185" s="23"/>
    </row>
    <row r="186" spans="1:37" ht="28.8" hidden="1">
      <c r="A186" s="1" t="s">
        <v>291</v>
      </c>
      <c r="B186" s="1" t="s">
        <v>194</v>
      </c>
      <c r="C186" s="1" t="s">
        <v>200</v>
      </c>
      <c r="D186" s="2" t="s">
        <v>294</v>
      </c>
      <c r="E186" s="3" t="s">
        <v>644</v>
      </c>
      <c r="F186" s="3" t="s">
        <v>645</v>
      </c>
      <c r="G186" s="2" t="s">
        <v>294</v>
      </c>
      <c r="H186" s="1" t="s">
        <v>301</v>
      </c>
      <c r="I186" s="1" t="s">
        <v>302</v>
      </c>
      <c r="J186" s="2" t="s">
        <v>217</v>
      </c>
      <c r="K186" s="2">
        <v>0</v>
      </c>
      <c r="L186" s="2" t="s">
        <v>42</v>
      </c>
      <c r="M186" s="1">
        <v>0</v>
      </c>
      <c r="N186" s="1" t="s">
        <v>294</v>
      </c>
      <c r="O186" s="1" t="s">
        <v>301</v>
      </c>
      <c r="P186" s="1" t="s">
        <v>302</v>
      </c>
      <c r="Q186" s="2" t="s">
        <v>217</v>
      </c>
      <c r="R186" s="2">
        <v>0</v>
      </c>
      <c r="S186" s="2" t="s">
        <v>42</v>
      </c>
      <c r="T186" s="1">
        <v>0</v>
      </c>
      <c r="U186" s="1" t="s">
        <v>42</v>
      </c>
      <c r="V186" s="1">
        <v>0</v>
      </c>
      <c r="W186" s="11" t="s">
        <v>42</v>
      </c>
      <c r="X186" s="1" t="s">
        <v>43</v>
      </c>
      <c r="Y186" s="1">
        <v>0</v>
      </c>
      <c r="AB186" s="11">
        <f t="shared" si="11"/>
        <v>0</v>
      </c>
      <c r="AC186" s="11">
        <f t="shared" si="12"/>
        <v>0</v>
      </c>
      <c r="AD186" s="17">
        <v>0</v>
      </c>
      <c r="AE186" s="18">
        <f t="shared" si="13"/>
        <v>0</v>
      </c>
      <c r="AF186" s="11" t="str">
        <f t="shared" si="14"/>
        <v>Low</v>
      </c>
      <c r="AG186" s="14"/>
      <c r="AI186" s="22" t="str">
        <f t="shared" si="15"/>
        <v>Release</v>
      </c>
      <c r="AJ186" s="23"/>
    </row>
    <row r="187" spans="1:37" ht="28.8" hidden="1">
      <c r="A187" s="1" t="s">
        <v>291</v>
      </c>
      <c r="B187" s="1" t="s">
        <v>194</v>
      </c>
      <c r="C187" s="1" t="s">
        <v>195</v>
      </c>
      <c r="D187" s="2" t="s">
        <v>294</v>
      </c>
      <c r="E187" s="3" t="s">
        <v>646</v>
      </c>
      <c r="F187" s="3" t="s">
        <v>647</v>
      </c>
      <c r="G187" s="2" t="s">
        <v>294</v>
      </c>
      <c r="H187" s="1" t="s">
        <v>297</v>
      </c>
      <c r="I187" s="1" t="s">
        <v>298</v>
      </c>
      <c r="J187" s="2" t="s">
        <v>57</v>
      </c>
      <c r="K187" s="2">
        <v>9</v>
      </c>
      <c r="L187" s="2" t="s">
        <v>42</v>
      </c>
      <c r="M187" s="1">
        <v>0</v>
      </c>
      <c r="N187" s="1" t="s">
        <v>294</v>
      </c>
      <c r="O187" s="1" t="s">
        <v>297</v>
      </c>
      <c r="P187" s="1" t="s">
        <v>298</v>
      </c>
      <c r="Q187" s="2" t="s">
        <v>57</v>
      </c>
      <c r="R187" s="2">
        <v>9</v>
      </c>
      <c r="S187" s="2" t="s">
        <v>42</v>
      </c>
      <c r="T187" s="1">
        <v>0</v>
      </c>
      <c r="U187" s="1" t="s">
        <v>42</v>
      </c>
      <c r="V187" s="1">
        <v>0</v>
      </c>
      <c r="W187" s="11" t="s">
        <v>42</v>
      </c>
      <c r="X187" s="1" t="s">
        <v>43</v>
      </c>
      <c r="Y187" s="1">
        <v>0</v>
      </c>
      <c r="AB187" s="11">
        <f t="shared" si="11"/>
        <v>0</v>
      </c>
      <c r="AC187" s="11">
        <f t="shared" si="12"/>
        <v>0</v>
      </c>
      <c r="AD187" s="17">
        <v>0</v>
      </c>
      <c r="AE187" s="18">
        <f t="shared" si="13"/>
        <v>0</v>
      </c>
      <c r="AF187" s="11" t="str">
        <f t="shared" si="14"/>
        <v>Low</v>
      </c>
      <c r="AG187" s="14"/>
      <c r="AI187" s="22" t="str">
        <f t="shared" si="15"/>
        <v>Release</v>
      </c>
      <c r="AJ187" s="23"/>
    </row>
    <row r="188" spans="1:37" ht="86.4" hidden="1">
      <c r="A188" s="1" t="s">
        <v>291</v>
      </c>
      <c r="B188" s="1" t="s">
        <v>194</v>
      </c>
      <c r="C188" s="1" t="s">
        <v>195</v>
      </c>
      <c r="D188" s="14" t="s">
        <v>294</v>
      </c>
      <c r="E188" s="3" t="s">
        <v>648</v>
      </c>
      <c r="F188" s="3" t="s">
        <v>649</v>
      </c>
      <c r="G188" s="2" t="s">
        <v>294</v>
      </c>
      <c r="H188" s="1" t="s">
        <v>301</v>
      </c>
      <c r="I188" s="1" t="s">
        <v>302</v>
      </c>
      <c r="J188" s="2" t="s">
        <v>57</v>
      </c>
      <c r="K188" s="2">
        <v>9</v>
      </c>
      <c r="L188" s="2" t="s">
        <v>43</v>
      </c>
      <c r="M188" s="1">
        <v>40</v>
      </c>
      <c r="N188" s="1" t="s">
        <v>294</v>
      </c>
      <c r="O188" s="1" t="s">
        <v>307</v>
      </c>
      <c r="P188" s="1" t="s">
        <v>308</v>
      </c>
      <c r="Q188" s="2" t="s">
        <v>41</v>
      </c>
      <c r="R188" s="2">
        <v>21</v>
      </c>
      <c r="S188" s="2" t="s">
        <v>42</v>
      </c>
      <c r="T188" s="1">
        <v>0</v>
      </c>
      <c r="U188" s="1" t="s">
        <v>43</v>
      </c>
      <c r="V188" s="1">
        <v>40</v>
      </c>
      <c r="W188" s="11" t="s">
        <v>43</v>
      </c>
      <c r="X188" s="1" t="s">
        <v>42</v>
      </c>
      <c r="Y188" s="1">
        <v>2</v>
      </c>
      <c r="Z188" s="1" t="s">
        <v>101</v>
      </c>
      <c r="AA188" s="3" t="s">
        <v>650</v>
      </c>
      <c r="AB188" s="11">
        <f t="shared" si="11"/>
        <v>12</v>
      </c>
      <c r="AC188" s="11">
        <f t="shared" si="12"/>
        <v>50</v>
      </c>
      <c r="AD188" s="17">
        <v>0.83</v>
      </c>
      <c r="AE188" s="18">
        <f t="shared" si="13"/>
        <v>40</v>
      </c>
      <c r="AF188" s="11" t="str">
        <f t="shared" si="14"/>
        <v>Medium</v>
      </c>
      <c r="AG188" s="14" t="s">
        <v>651</v>
      </c>
      <c r="AH188" s="23" t="s">
        <v>703</v>
      </c>
      <c r="AI188" s="22" t="str">
        <f t="shared" si="15"/>
        <v>Investigate</v>
      </c>
      <c r="AJ188" s="23" t="s">
        <v>61</v>
      </c>
      <c r="AK188" s="3" t="s">
        <v>652</v>
      </c>
    </row>
    <row r="189" spans="1:37" ht="28.8" hidden="1">
      <c r="A189" s="1" t="s">
        <v>291</v>
      </c>
      <c r="B189" s="1" t="s">
        <v>194</v>
      </c>
      <c r="C189" s="1" t="s">
        <v>200</v>
      </c>
      <c r="D189" s="2" t="s">
        <v>165</v>
      </c>
      <c r="E189" s="3" t="s">
        <v>653</v>
      </c>
      <c r="F189" s="3" t="s">
        <v>654</v>
      </c>
      <c r="G189" s="2" t="s">
        <v>165</v>
      </c>
      <c r="H189" s="1" t="s">
        <v>182</v>
      </c>
      <c r="I189" s="1" t="s">
        <v>183</v>
      </c>
      <c r="J189" s="2" t="s">
        <v>217</v>
      </c>
      <c r="K189" s="2">
        <v>0</v>
      </c>
      <c r="L189" s="2" t="s">
        <v>42</v>
      </c>
      <c r="M189" s="1">
        <v>0</v>
      </c>
      <c r="N189" s="1" t="s">
        <v>165</v>
      </c>
      <c r="O189" s="1" t="s">
        <v>182</v>
      </c>
      <c r="P189" s="1" t="s">
        <v>183</v>
      </c>
      <c r="Q189" s="2" t="s">
        <v>217</v>
      </c>
      <c r="R189" s="2">
        <v>0</v>
      </c>
      <c r="S189" s="2" t="s">
        <v>42</v>
      </c>
      <c r="T189" s="1">
        <v>0</v>
      </c>
      <c r="U189" s="1" t="s">
        <v>42</v>
      </c>
      <c r="V189" s="1">
        <v>0</v>
      </c>
      <c r="W189" s="11" t="s">
        <v>42</v>
      </c>
      <c r="X189" s="1" t="s">
        <v>43</v>
      </c>
      <c r="Y189" s="1">
        <v>0</v>
      </c>
      <c r="AB189" s="11">
        <f t="shared" si="11"/>
        <v>0</v>
      </c>
      <c r="AC189" s="11">
        <f t="shared" si="12"/>
        <v>0</v>
      </c>
      <c r="AD189" s="17">
        <v>0</v>
      </c>
      <c r="AE189" s="18">
        <f t="shared" si="13"/>
        <v>0</v>
      </c>
      <c r="AF189" s="11" t="str">
        <f t="shared" si="14"/>
        <v>Low</v>
      </c>
      <c r="AG189" s="14"/>
      <c r="AI189" s="22" t="str">
        <f t="shared" si="15"/>
        <v>Release</v>
      </c>
      <c r="AJ189" s="23"/>
    </row>
    <row r="190" spans="1:37" ht="28.8" hidden="1">
      <c r="A190" s="1" t="s">
        <v>291</v>
      </c>
      <c r="B190" s="1" t="s">
        <v>194</v>
      </c>
      <c r="C190" s="1" t="s">
        <v>195</v>
      </c>
      <c r="D190" s="2" t="s">
        <v>294</v>
      </c>
      <c r="E190" s="3" t="s">
        <v>655</v>
      </c>
      <c r="F190" s="3" t="s">
        <v>656</v>
      </c>
      <c r="G190" s="2" t="s">
        <v>294</v>
      </c>
      <c r="H190" s="1" t="s">
        <v>301</v>
      </c>
      <c r="I190" s="1" t="s">
        <v>302</v>
      </c>
      <c r="J190" s="2" t="s">
        <v>57</v>
      </c>
      <c r="K190" s="2">
        <v>9</v>
      </c>
      <c r="L190" s="2" t="s">
        <v>42</v>
      </c>
      <c r="M190" s="1">
        <v>0</v>
      </c>
      <c r="N190" s="1" t="s">
        <v>294</v>
      </c>
      <c r="O190" s="1" t="s">
        <v>301</v>
      </c>
      <c r="P190" s="1" t="s">
        <v>302</v>
      </c>
      <c r="Q190" s="2" t="s">
        <v>57</v>
      </c>
      <c r="R190" s="2">
        <v>9</v>
      </c>
      <c r="S190" s="2" t="s">
        <v>42</v>
      </c>
      <c r="T190" s="1">
        <v>0</v>
      </c>
      <c r="U190" s="1" t="s">
        <v>42</v>
      </c>
      <c r="V190" s="1">
        <v>0</v>
      </c>
      <c r="W190" s="11" t="s">
        <v>42</v>
      </c>
      <c r="X190" s="1" t="s">
        <v>43</v>
      </c>
      <c r="Y190" s="1">
        <v>0</v>
      </c>
      <c r="AB190" s="11">
        <f t="shared" si="11"/>
        <v>0</v>
      </c>
      <c r="AC190" s="11">
        <f t="shared" si="12"/>
        <v>0</v>
      </c>
      <c r="AD190" s="17">
        <v>0</v>
      </c>
      <c r="AE190" s="18">
        <f t="shared" si="13"/>
        <v>0</v>
      </c>
      <c r="AF190" s="11" t="str">
        <f t="shared" si="14"/>
        <v>Low</v>
      </c>
      <c r="AG190" s="14"/>
      <c r="AI190" s="22" t="str">
        <f t="shared" si="15"/>
        <v>Release</v>
      </c>
      <c r="AJ190" s="23"/>
    </row>
    <row r="191" spans="1:37" ht="28.8" hidden="1">
      <c r="A191" s="1" t="s">
        <v>291</v>
      </c>
      <c r="B191" s="1" t="s">
        <v>194</v>
      </c>
      <c r="C191" s="1" t="s">
        <v>200</v>
      </c>
      <c r="D191" s="2" t="s">
        <v>294</v>
      </c>
      <c r="E191" s="3" t="s">
        <v>657</v>
      </c>
      <c r="F191" s="3" t="s">
        <v>658</v>
      </c>
      <c r="G191" s="2" t="s">
        <v>294</v>
      </c>
      <c r="H191" s="1" t="s">
        <v>297</v>
      </c>
      <c r="I191" s="1" t="s">
        <v>298</v>
      </c>
      <c r="J191" s="2" t="s">
        <v>217</v>
      </c>
      <c r="K191" s="2">
        <v>0</v>
      </c>
      <c r="L191" s="2" t="s">
        <v>42</v>
      </c>
      <c r="M191" s="1">
        <v>0</v>
      </c>
      <c r="N191" s="1" t="s">
        <v>294</v>
      </c>
      <c r="O191" s="1" t="s">
        <v>297</v>
      </c>
      <c r="P191" s="1" t="s">
        <v>298</v>
      </c>
      <c r="Q191" s="2" t="s">
        <v>217</v>
      </c>
      <c r="R191" s="2">
        <v>0</v>
      </c>
      <c r="S191" s="2" t="s">
        <v>42</v>
      </c>
      <c r="T191" s="1">
        <v>0</v>
      </c>
      <c r="U191" s="1" t="s">
        <v>42</v>
      </c>
      <c r="V191" s="1">
        <v>0</v>
      </c>
      <c r="W191" s="11" t="s">
        <v>42</v>
      </c>
      <c r="X191" s="1" t="s">
        <v>43</v>
      </c>
      <c r="Y191" s="1">
        <v>0</v>
      </c>
      <c r="AB191" s="11">
        <f t="shared" si="11"/>
        <v>0</v>
      </c>
      <c r="AC191" s="11">
        <f t="shared" si="12"/>
        <v>0</v>
      </c>
      <c r="AD191" s="17">
        <v>0</v>
      </c>
      <c r="AE191" s="18">
        <f t="shared" si="13"/>
        <v>0</v>
      </c>
      <c r="AF191" s="11" t="str">
        <f t="shared" si="14"/>
        <v>Low</v>
      </c>
      <c r="AG191" s="14"/>
      <c r="AI191" s="22" t="str">
        <f t="shared" si="15"/>
        <v>Release</v>
      </c>
      <c r="AJ191" s="23"/>
    </row>
    <row r="192" spans="1:37" ht="72" hidden="1">
      <c r="A192" s="1" t="s">
        <v>291</v>
      </c>
      <c r="B192" s="1" t="s">
        <v>194</v>
      </c>
      <c r="C192" s="1" t="s">
        <v>195</v>
      </c>
      <c r="D192" s="2" t="s">
        <v>294</v>
      </c>
      <c r="E192" s="3" t="s">
        <v>659</v>
      </c>
      <c r="F192" s="3" t="s">
        <v>660</v>
      </c>
      <c r="G192" s="2" t="s">
        <v>294</v>
      </c>
      <c r="H192" s="1" t="s">
        <v>301</v>
      </c>
      <c r="I192" s="1" t="s">
        <v>302</v>
      </c>
      <c r="J192" s="2" t="s">
        <v>57</v>
      </c>
      <c r="K192" s="2">
        <v>9</v>
      </c>
      <c r="L192" s="2" t="s">
        <v>42</v>
      </c>
      <c r="M192" s="9">
        <v>59</v>
      </c>
      <c r="N192" s="1" t="s">
        <v>294</v>
      </c>
      <c r="O192" s="1" t="s">
        <v>301</v>
      </c>
      <c r="P192" s="1" t="s">
        <v>302</v>
      </c>
      <c r="Q192" s="2" t="s">
        <v>57</v>
      </c>
      <c r="R192" s="2">
        <v>9</v>
      </c>
      <c r="S192" s="2" t="s">
        <v>43</v>
      </c>
      <c r="T192" s="9">
        <v>60</v>
      </c>
      <c r="U192" s="1" t="s">
        <v>43</v>
      </c>
      <c r="V192" s="1">
        <v>40</v>
      </c>
      <c r="W192" s="11" t="s">
        <v>43</v>
      </c>
      <c r="X192" s="1" t="s">
        <v>43</v>
      </c>
      <c r="Y192" s="1">
        <v>2</v>
      </c>
      <c r="Z192" s="1" t="s">
        <v>240</v>
      </c>
      <c r="AA192" s="3" t="s">
        <v>661</v>
      </c>
      <c r="AB192" s="11">
        <f t="shared" si="11"/>
        <v>0</v>
      </c>
      <c r="AC192" s="11">
        <f t="shared" si="12"/>
        <v>70</v>
      </c>
      <c r="AD192" s="17">
        <v>0.52</v>
      </c>
      <c r="AE192" s="18">
        <f t="shared" si="13"/>
        <v>100</v>
      </c>
      <c r="AF192" s="11" t="str">
        <f t="shared" si="14"/>
        <v>High</v>
      </c>
      <c r="AG192" s="14" t="s">
        <v>662</v>
      </c>
      <c r="AH192" s="22" t="s">
        <v>703</v>
      </c>
      <c r="AI192" s="22" t="str">
        <f t="shared" si="15"/>
        <v>Retain</v>
      </c>
      <c r="AJ192" s="22" t="s">
        <v>701</v>
      </c>
      <c r="AK192" s="3" t="s">
        <v>663</v>
      </c>
    </row>
  </sheetData>
  <autoFilter ref="A1:AL192" xr:uid="{00000000-0009-0000-0000-000000000000}">
    <filterColumn colId="22">
      <filters>
        <filter val="Yes"/>
      </filters>
    </filterColumn>
    <filterColumn colId="25">
      <filters>
        <filter val="Supplier Risk"/>
      </filters>
    </filterColumn>
  </autoFilter>
  <conditionalFormatting sqref="M2:M72 M80 M88 M104 M116 M132 M140 M156 M164 M176 M192">
    <cfRule type="colorScale" priority="9">
      <colorScale>
        <cfvo type="min"/>
        <cfvo type="percentile" val="50"/>
        <cfvo type="max"/>
        <color rgb="FF63BE7B"/>
        <color rgb="FFFFEB84"/>
        <color rgb="FFF8696B"/>
      </colorScale>
    </cfRule>
  </conditionalFormatting>
  <conditionalFormatting sqref="M2:M192">
    <cfRule type="colorScale" priority="5">
      <colorScale>
        <cfvo type="min"/>
        <cfvo type="percentile" val="50"/>
        <cfvo type="max"/>
        <color rgb="FF63BE7B"/>
        <color rgb="FFFFEB84"/>
        <color rgb="FFF8696B"/>
      </colorScale>
    </cfRule>
  </conditionalFormatting>
  <conditionalFormatting sqref="T2:T72 T80 T88 T104 T116 T132 T140 T156 T164 T176 T192">
    <cfRule type="colorScale" priority="8">
      <colorScale>
        <cfvo type="min"/>
        <cfvo type="percentile" val="50"/>
        <cfvo type="max"/>
        <color rgb="FF63BE7B"/>
        <color rgb="FFFFEB84"/>
        <color rgb="FFF8696B"/>
      </colorScale>
    </cfRule>
  </conditionalFormatting>
  <conditionalFormatting sqref="T2:T192">
    <cfRule type="colorScale" priority="4">
      <colorScale>
        <cfvo type="min"/>
        <cfvo type="percentile" val="50"/>
        <cfvo type="max"/>
        <color rgb="FF63BE7B"/>
        <color rgb="FFFFEB84"/>
        <color rgb="FFF8696B"/>
      </colorScale>
    </cfRule>
  </conditionalFormatting>
  <conditionalFormatting sqref="V2:W72 W73:W192">
    <cfRule type="colorScale" priority="7">
      <colorScale>
        <cfvo type="min"/>
        <cfvo type="percentile" val="50"/>
        <cfvo type="max"/>
        <color rgb="FF63BE7B"/>
        <color rgb="FFFFEB84"/>
        <color rgb="FFF8696B"/>
      </colorScale>
    </cfRule>
  </conditionalFormatting>
  <conditionalFormatting sqref="V2:W192">
    <cfRule type="colorScale" priority="3">
      <colorScale>
        <cfvo type="min"/>
        <cfvo type="percentile" val="50"/>
        <cfvo type="max"/>
        <color rgb="FF63BE7B"/>
        <color rgb="FFFFEB84"/>
        <color rgb="FFF8696B"/>
      </colorScale>
    </cfRule>
  </conditionalFormatting>
  <conditionalFormatting sqref="W2:W192">
    <cfRule type="cellIs" dxfId="1" priority="1" operator="equal">
      <formula>"Yes"</formula>
    </cfRule>
    <cfRule type="cellIs" dxfId="0" priority="2" operator="equal">
      <formula>"No"</formula>
    </cfRule>
  </conditionalFormatting>
  <conditionalFormatting sqref="AB2:AB192">
    <cfRule type="colorScale" priority="10">
      <colorScale>
        <cfvo type="min"/>
        <cfvo type="percentile" val="50"/>
        <cfvo type="max"/>
        <color rgb="FF63BE7B"/>
        <color rgb="FFFFEB84"/>
        <color rgb="FFF8696B"/>
      </colorScale>
    </cfRule>
  </conditionalFormatting>
  <conditionalFormatting sqref="AC2:AC192">
    <cfRule type="colorScale" priority="6">
      <colorScale>
        <cfvo type="min"/>
        <cfvo type="percentile" val="50"/>
        <cfvo type="max"/>
        <color rgb="FF63BE7B"/>
        <color rgb="FFFFEB84"/>
        <color rgb="FFF8696B"/>
      </colorScale>
    </cfRule>
  </conditionalFormatting>
  <conditionalFormatting sqref="AD2:AE72 AE73:AE192">
    <cfRule type="colorScale" priority="11">
      <colorScale>
        <cfvo type="min"/>
        <cfvo type="percentile" val="50"/>
        <cfvo type="max"/>
        <color rgb="FF63BE7B"/>
        <color rgb="FFFFEB84"/>
        <color rgb="FFF8696B"/>
      </colorScale>
    </cfRule>
  </conditionalFormatting>
  <conditionalFormatting sqref="AD2:AE192">
    <cfRule type="colorScale" priority="12">
      <colorScale>
        <cfvo type="min"/>
        <cfvo type="percentile" val="50"/>
        <cfvo type="max"/>
        <color rgb="FF63BE7B"/>
        <color rgb="FFFFEB84"/>
        <color rgb="FFF8696B"/>
      </colorScale>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
  <sheetViews>
    <sheetView zoomScaleNormal="100" workbookViewId="0">
      <selection activeCell="G15" sqref="G15"/>
    </sheetView>
  </sheetViews>
  <sheetFormatPr defaultColWidth="8.578125" defaultRowHeight="14.4"/>
  <cols>
    <col min="1" max="1" width="37.26171875" customWidth="1"/>
    <col min="2" max="2" width="39.578125" customWidth="1"/>
    <col min="3" max="3" width="14.68359375" customWidth="1"/>
    <col min="8" max="8" width="39.578125" bestFit="1" customWidth="1"/>
  </cols>
  <sheetData>
    <row r="1" spans="1:3" ht="15" customHeight="1">
      <c r="A1" t="s">
        <v>664</v>
      </c>
      <c r="B1" t="s">
        <v>665</v>
      </c>
      <c r="C1" t="s">
        <v>666</v>
      </c>
    </row>
    <row r="2" spans="1:3" ht="15" customHeight="1">
      <c r="A2" t="s">
        <v>198</v>
      </c>
      <c r="B2" t="s">
        <v>36</v>
      </c>
      <c r="C2" t="s">
        <v>199</v>
      </c>
    </row>
    <row r="3" spans="1:3" ht="15" customHeight="1">
      <c r="A3" t="s">
        <v>39</v>
      </c>
      <c r="B3" t="s">
        <v>36</v>
      </c>
      <c r="C3" t="s">
        <v>40</v>
      </c>
    </row>
    <row r="4" spans="1:3" ht="15" customHeight="1">
      <c r="A4" t="s">
        <v>46</v>
      </c>
      <c r="B4" t="s">
        <v>36</v>
      </c>
      <c r="C4" t="s">
        <v>47</v>
      </c>
    </row>
    <row r="5" spans="1:3" ht="15" customHeight="1">
      <c r="A5" t="s">
        <v>203</v>
      </c>
      <c r="B5" t="s">
        <v>36</v>
      </c>
      <c r="C5" t="s">
        <v>204</v>
      </c>
    </row>
    <row r="6" spans="1:3" ht="15" customHeight="1">
      <c r="A6" t="s">
        <v>50</v>
      </c>
      <c r="B6" t="s">
        <v>36</v>
      </c>
      <c r="C6" t="s">
        <v>51</v>
      </c>
    </row>
    <row r="7" spans="1:3" ht="15" customHeight="1">
      <c r="A7" t="s">
        <v>172</v>
      </c>
      <c r="B7" t="s">
        <v>36</v>
      </c>
      <c r="C7" t="s">
        <v>667</v>
      </c>
    </row>
    <row r="8" spans="1:3" ht="15" customHeight="1">
      <c r="A8" t="s">
        <v>207</v>
      </c>
      <c r="B8" t="s">
        <v>36</v>
      </c>
      <c r="C8" t="s">
        <v>208</v>
      </c>
    </row>
    <row r="9" spans="1:3" ht="15" customHeight="1">
      <c r="A9" t="s">
        <v>55</v>
      </c>
      <c r="B9" t="s">
        <v>36</v>
      </c>
      <c r="C9" t="s">
        <v>56</v>
      </c>
    </row>
    <row r="10" spans="1:3" ht="15" customHeight="1">
      <c r="A10" t="s">
        <v>78</v>
      </c>
      <c r="B10" t="s">
        <v>36</v>
      </c>
      <c r="C10" t="s">
        <v>79</v>
      </c>
    </row>
    <row r="11" spans="1:3" ht="15" customHeight="1">
      <c r="A11" t="s">
        <v>668</v>
      </c>
      <c r="B11" t="s">
        <v>36</v>
      </c>
      <c r="C11" t="s">
        <v>669</v>
      </c>
    </row>
    <row r="12" spans="1:3" ht="15" customHeight="1">
      <c r="A12" t="s">
        <v>501</v>
      </c>
      <c r="B12" t="s">
        <v>36</v>
      </c>
      <c r="C12" t="s">
        <v>502</v>
      </c>
    </row>
    <row r="13" spans="1:3" ht="15" customHeight="1">
      <c r="A13" t="s">
        <v>83</v>
      </c>
      <c r="B13" t="s">
        <v>80</v>
      </c>
      <c r="C13" t="s">
        <v>84</v>
      </c>
    </row>
    <row r="14" spans="1:3" ht="15" customHeight="1">
      <c r="A14" t="s">
        <v>670</v>
      </c>
      <c r="B14" t="s">
        <v>80</v>
      </c>
      <c r="C14" t="s">
        <v>671</v>
      </c>
    </row>
    <row r="15" spans="1:3" ht="15" customHeight="1">
      <c r="A15" t="s">
        <v>672</v>
      </c>
      <c r="B15" t="s">
        <v>80</v>
      </c>
      <c r="C15" t="s">
        <v>673</v>
      </c>
    </row>
    <row r="16" spans="1:3" ht="15" customHeight="1">
      <c r="A16" t="s">
        <v>226</v>
      </c>
      <c r="B16" t="s">
        <v>80</v>
      </c>
      <c r="C16" t="s">
        <v>227</v>
      </c>
    </row>
    <row r="17" spans="1:3" ht="15" customHeight="1">
      <c r="A17" t="s">
        <v>674</v>
      </c>
      <c r="B17" t="s">
        <v>80</v>
      </c>
      <c r="C17" t="s">
        <v>675</v>
      </c>
    </row>
    <row r="18" spans="1:3" ht="15" customHeight="1">
      <c r="A18" t="s">
        <v>151</v>
      </c>
      <c r="B18" t="s">
        <v>80</v>
      </c>
      <c r="C18" t="s">
        <v>152</v>
      </c>
    </row>
    <row r="19" spans="1:3" ht="15" customHeight="1">
      <c r="A19" t="s">
        <v>87</v>
      </c>
      <c r="B19" t="s">
        <v>80</v>
      </c>
      <c r="C19" t="s">
        <v>88</v>
      </c>
    </row>
    <row r="20" spans="1:3" ht="15" customHeight="1">
      <c r="A20" t="s">
        <v>676</v>
      </c>
      <c r="B20" t="s">
        <v>80</v>
      </c>
      <c r="C20" t="s">
        <v>677</v>
      </c>
    </row>
    <row r="21" spans="1:3" ht="15" customHeight="1">
      <c r="A21" t="s">
        <v>136</v>
      </c>
      <c r="B21" t="s">
        <v>133</v>
      </c>
      <c r="C21" t="s">
        <v>137</v>
      </c>
    </row>
    <row r="22" spans="1:3" ht="15" customHeight="1">
      <c r="A22" t="s">
        <v>278</v>
      </c>
      <c r="B22" t="s">
        <v>133</v>
      </c>
      <c r="C22" t="s">
        <v>279</v>
      </c>
    </row>
    <row r="23" spans="1:3" ht="15" customHeight="1">
      <c r="A23" t="s">
        <v>140</v>
      </c>
      <c r="B23" t="s">
        <v>133</v>
      </c>
      <c r="C23" t="s">
        <v>141</v>
      </c>
    </row>
    <row r="24" spans="1:3" ht="15" customHeight="1">
      <c r="A24" t="s">
        <v>454</v>
      </c>
      <c r="B24" t="s">
        <v>133</v>
      </c>
      <c r="C24" t="s">
        <v>455</v>
      </c>
    </row>
    <row r="25" spans="1:3" ht="15" customHeight="1">
      <c r="A25" t="s">
        <v>430</v>
      </c>
      <c r="B25" t="s">
        <v>133</v>
      </c>
      <c r="C25" t="s">
        <v>431</v>
      </c>
    </row>
    <row r="26" spans="1:3" ht="15" customHeight="1">
      <c r="A26" t="s">
        <v>678</v>
      </c>
      <c r="B26" t="s">
        <v>133</v>
      </c>
      <c r="C26" t="s">
        <v>679</v>
      </c>
    </row>
    <row r="27" spans="1:3" ht="15" customHeight="1">
      <c r="A27" t="s">
        <v>230</v>
      </c>
      <c r="B27" t="s">
        <v>133</v>
      </c>
      <c r="C27" t="s">
        <v>231</v>
      </c>
    </row>
    <row r="28" spans="1:3" ht="15" customHeight="1">
      <c r="A28" t="s">
        <v>270</v>
      </c>
      <c r="B28" t="s">
        <v>142</v>
      </c>
      <c r="C28" t="s">
        <v>271</v>
      </c>
    </row>
    <row r="29" spans="1:3" ht="15" customHeight="1">
      <c r="A29" t="s">
        <v>145</v>
      </c>
      <c r="B29" t="s">
        <v>142</v>
      </c>
      <c r="C29" t="s">
        <v>146</v>
      </c>
    </row>
    <row r="30" spans="1:3" ht="15" customHeight="1">
      <c r="A30" t="s">
        <v>274</v>
      </c>
      <c r="B30" t="s">
        <v>142</v>
      </c>
      <c r="C30" t="s">
        <v>275</v>
      </c>
    </row>
    <row r="31" spans="1:3" ht="15" customHeight="1">
      <c r="A31" t="s">
        <v>603</v>
      </c>
      <c r="B31" t="s">
        <v>142</v>
      </c>
      <c r="C31" t="s">
        <v>604</v>
      </c>
    </row>
    <row r="32" spans="1:3" ht="15" customHeight="1">
      <c r="A32" t="s">
        <v>601</v>
      </c>
      <c r="B32" t="s">
        <v>142</v>
      </c>
      <c r="C32" t="s">
        <v>602</v>
      </c>
    </row>
    <row r="33" spans="1:3" ht="15" customHeight="1">
      <c r="A33" t="s">
        <v>680</v>
      </c>
      <c r="B33" t="s">
        <v>142</v>
      </c>
      <c r="C33" t="s">
        <v>681</v>
      </c>
    </row>
    <row r="34" spans="1:3" ht="15" customHeight="1">
      <c r="A34" t="s">
        <v>627</v>
      </c>
      <c r="B34" t="s">
        <v>142</v>
      </c>
      <c r="C34" t="s">
        <v>628</v>
      </c>
    </row>
    <row r="35" spans="1:3" ht="15" customHeight="1">
      <c r="A35" t="s">
        <v>109</v>
      </c>
      <c r="B35" t="s">
        <v>106</v>
      </c>
      <c r="C35" t="s">
        <v>110</v>
      </c>
    </row>
    <row r="36" spans="1:3" ht="15" customHeight="1">
      <c r="A36" t="s">
        <v>682</v>
      </c>
      <c r="B36" t="s">
        <v>106</v>
      </c>
      <c r="C36" t="s">
        <v>683</v>
      </c>
    </row>
    <row r="37" spans="1:3" ht="15" customHeight="1">
      <c r="A37" t="s">
        <v>684</v>
      </c>
      <c r="B37" t="s">
        <v>106</v>
      </c>
      <c r="C37" t="s">
        <v>685</v>
      </c>
    </row>
    <row r="38" spans="1:3" ht="15" customHeight="1">
      <c r="A38" t="s">
        <v>113</v>
      </c>
      <c r="B38" t="s">
        <v>106</v>
      </c>
      <c r="C38" t="s">
        <v>114</v>
      </c>
    </row>
    <row r="39" spans="1:3" ht="15" customHeight="1">
      <c r="A39" t="s">
        <v>117</v>
      </c>
      <c r="B39" t="s">
        <v>106</v>
      </c>
      <c r="C39" t="s">
        <v>118</v>
      </c>
    </row>
    <row r="40" spans="1:3" ht="15" customHeight="1">
      <c r="A40" t="s">
        <v>252</v>
      </c>
      <c r="B40" t="s">
        <v>106</v>
      </c>
      <c r="C40" t="s">
        <v>253</v>
      </c>
    </row>
    <row r="41" spans="1:3" ht="15" customHeight="1">
      <c r="A41" t="s">
        <v>127</v>
      </c>
      <c r="B41" t="s">
        <v>106</v>
      </c>
      <c r="C41" t="s">
        <v>128</v>
      </c>
    </row>
    <row r="42" spans="1:3" ht="15" customHeight="1">
      <c r="A42" t="s">
        <v>417</v>
      </c>
      <c r="B42" t="s">
        <v>106</v>
      </c>
      <c r="C42" t="s">
        <v>418</v>
      </c>
    </row>
    <row r="43" spans="1:3" ht="15" customHeight="1">
      <c r="A43" t="s">
        <v>168</v>
      </c>
      <c r="B43" t="s">
        <v>165</v>
      </c>
      <c r="C43" t="s">
        <v>169</v>
      </c>
    </row>
    <row r="44" spans="1:3" ht="15" customHeight="1">
      <c r="A44" t="s">
        <v>172</v>
      </c>
      <c r="B44" t="s">
        <v>165</v>
      </c>
      <c r="C44" t="s">
        <v>173</v>
      </c>
    </row>
    <row r="45" spans="1:3" ht="15" customHeight="1">
      <c r="A45" t="s">
        <v>182</v>
      </c>
      <c r="B45" t="s">
        <v>165</v>
      </c>
      <c r="C45" t="s">
        <v>183</v>
      </c>
    </row>
    <row r="46" spans="1:3" ht="15" customHeight="1">
      <c r="A46" t="s">
        <v>477</v>
      </c>
      <c r="B46" t="s">
        <v>165</v>
      </c>
      <c r="C46" t="s">
        <v>478</v>
      </c>
    </row>
    <row r="47" spans="1:3" ht="15" customHeight="1">
      <c r="A47" t="s">
        <v>686</v>
      </c>
      <c r="B47" t="s">
        <v>165</v>
      </c>
      <c r="C47" t="s">
        <v>687</v>
      </c>
    </row>
    <row r="48" spans="1:3" ht="15" customHeight="1">
      <c r="A48" t="s">
        <v>176</v>
      </c>
      <c r="B48" t="s">
        <v>165</v>
      </c>
      <c r="C48" t="s">
        <v>177</v>
      </c>
    </row>
    <row r="49" spans="1:3" ht="15" customHeight="1">
      <c r="A49" t="s">
        <v>688</v>
      </c>
      <c r="B49" t="s">
        <v>294</v>
      </c>
      <c r="C49" t="s">
        <v>689</v>
      </c>
    </row>
    <row r="50" spans="1:3" ht="15" customHeight="1">
      <c r="A50" t="s">
        <v>297</v>
      </c>
      <c r="B50" t="s">
        <v>294</v>
      </c>
      <c r="C50" t="s">
        <v>298</v>
      </c>
    </row>
    <row r="51" spans="1:3" ht="15" customHeight="1">
      <c r="A51" t="s">
        <v>301</v>
      </c>
      <c r="B51" t="s">
        <v>294</v>
      </c>
      <c r="C51" t="s">
        <v>302</v>
      </c>
    </row>
    <row r="52" spans="1:3" ht="15" customHeight="1">
      <c r="A52" t="s">
        <v>307</v>
      </c>
      <c r="B52" t="s">
        <v>294</v>
      </c>
      <c r="C52" t="s">
        <v>308</v>
      </c>
    </row>
    <row r="53" spans="1:3" ht="15" customHeight="1">
      <c r="A53" t="s">
        <v>690</v>
      </c>
      <c r="B53" t="s">
        <v>294</v>
      </c>
      <c r="C53" t="s">
        <v>691</v>
      </c>
    </row>
    <row r="54" spans="1:3" ht="15" customHeight="1">
      <c r="A54" t="s">
        <v>248</v>
      </c>
      <c r="B54" t="s">
        <v>245</v>
      </c>
      <c r="C54" t="s">
        <v>249</v>
      </c>
    </row>
    <row r="55" spans="1:3" ht="15" customHeight="1">
      <c r="A55" t="s">
        <v>692</v>
      </c>
      <c r="B55" t="s">
        <v>245</v>
      </c>
      <c r="C55" t="s">
        <v>693</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7B089CCC8ADF4DA9E17F4F13FDA273" ma:contentTypeVersion="16" ma:contentTypeDescription="Create a new document." ma:contentTypeScope="" ma:versionID="62644d885a762440c9551c294fbc8d9d">
  <xsd:schema xmlns:xsd="http://www.w3.org/2001/XMLSchema" xmlns:xs="http://www.w3.org/2001/XMLSchema" xmlns:p="http://schemas.microsoft.com/office/2006/metadata/properties" xmlns:ns2="b4a20c1c-e2d9-4788-b54d-6cd42f149671" xmlns:ns3="64d86244-afe2-458a-9f0b-fcd5e408cdb6" targetNamespace="http://schemas.microsoft.com/office/2006/metadata/properties" ma:root="true" ma:fieldsID="e0e4f9117302f007f2d0678ed020382c" ns2:_="" ns3:_="">
    <xsd:import namespace="b4a20c1c-e2d9-4788-b54d-6cd42f149671"/>
    <xsd:import namespace="64d86244-afe2-458a-9f0b-fcd5e408cdb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DateTaken" minOccurs="0"/>
                <xsd:element ref="ns2:MediaServiceOCR"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a20c1c-e2d9-4788-b54d-6cd42f1496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d86244-afe2-458a-9f0b-fcd5e408cdb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6fb006c7-9477-4879-9477-cde493e31417}" ma:internalName="TaxCatchAll" ma:showField="CatchAllData" ma:web="64d86244-afe2-458a-9f0b-fcd5e408cd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a20c1c-e2d9-4788-b54d-6cd42f149671">
      <Terms xmlns="http://schemas.microsoft.com/office/infopath/2007/PartnerControls"/>
    </lcf76f155ced4ddcb4097134ff3c332f>
    <TaxCatchAll xmlns="64d86244-afe2-458a-9f0b-fcd5e408cdb6" xsi:nil="true"/>
  </documentManagement>
</p:properties>
</file>

<file path=customXml/itemProps1.xml><?xml version="1.0" encoding="utf-8"?>
<ds:datastoreItem xmlns:ds="http://schemas.openxmlformats.org/officeDocument/2006/customXml" ds:itemID="{2982FB62-7447-448A-9E7C-27B416C0D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a20c1c-e2d9-4788-b54d-6cd42f149671"/>
    <ds:schemaRef ds:uri="64d86244-afe2-458a-9f0b-fcd5e408cd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F8B5ED-680F-4483-9C8B-7E8373E0F8A8}">
  <ds:schemaRefs>
    <ds:schemaRef ds:uri="http://schemas.microsoft.com/sharepoint/v3/contenttype/forms"/>
  </ds:schemaRefs>
</ds:datastoreItem>
</file>

<file path=customXml/itemProps3.xml><?xml version="1.0" encoding="utf-8"?>
<ds:datastoreItem xmlns:ds="http://schemas.openxmlformats.org/officeDocument/2006/customXml" ds:itemID="{0E18CB30-9136-493D-821F-28987BFD4BCD}">
  <ds:schemaRefs>
    <ds:schemaRef ds:uri="http://purl.org/dc/dcmitype/"/>
    <ds:schemaRef ds:uri="http://purl.org/dc/terms/"/>
    <ds:schemaRef ds:uri="b4a20c1c-e2d9-4788-b54d-6cd42f149671"/>
    <ds:schemaRef ds:uri="http://schemas.microsoft.com/office/2006/documentManagement/types"/>
    <ds:schemaRef ds:uri="http://schemas.microsoft.com/office/infopath/2007/PartnerControls"/>
    <ds:schemaRef ds:uri="64d86244-afe2-458a-9f0b-fcd5e408cdb6"/>
    <ds:schemaRef ds:uri="http://schemas.openxmlformats.org/package/2006/metadata/core-properties"/>
    <ds:schemaRef ds:uri="http://schemas.microsoft.com/office/2006/metadata/properties"/>
    <ds:schemaRef ds:uri="http://www.w3.org/XML/1998/namespace"/>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 Missclassification Last</vt:lpstr>
      <vt:lpstr>VAT Master 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Aguilar, Carolina</dc:creator>
  <cp:keywords/>
  <dc:description/>
  <cp:lastModifiedBy>Van den Schrieck, JC (Jean-Christophe)</cp:lastModifiedBy>
  <cp:revision>0</cp:revision>
  <dcterms:created xsi:type="dcterms:W3CDTF">2026-04-16T20:15:42Z</dcterms:created>
  <dcterms:modified xsi:type="dcterms:W3CDTF">2026-04-21T18:49:57Z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0x0101000E7B089CCC8ADF4DA9E17F4F13FDA273</vt:lpwstr>
  </property>
  <property fmtid="{D5CDD505-2E9C-101B-9397-08002B2CF9AE}" pid="3" name="MediaServiceImageTags">
    <vt:lpwstr/>
  </property>
</Properties>
</file>